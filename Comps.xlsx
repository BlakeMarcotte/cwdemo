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ushwake1-my.sharepoint.com/personal/lily_somers_cushwake_com/Documents/Team Shared Folder/3. Market Data/"/>
    </mc:Choice>
  </mc:AlternateContent>
  <xr:revisionPtr revIDLastSave="598" documentId="8_{4661BA3D-E4DE-4F5E-9C60-0B93DF583119}" xr6:coauthVersionLast="47" xr6:coauthVersionMax="47" xr10:uidLastSave="{A823FEF0-AE9E-4EEC-A485-5DCC69035E4E}"/>
  <bookViews>
    <workbookView xWindow="-108" yWindow="-108" windowWidth="23256" windowHeight="13896" xr2:uid="{0B9055CF-2CE9-498D-85EF-4B38C65FB8AB}"/>
  </bookViews>
  <sheets>
    <sheet name="Active Comps" sheetId="3" r:id="rId1"/>
    <sheet name="Old Comps" sheetId="4" r:id="rId2"/>
  </sheets>
  <definedNames>
    <definedName name="_xlnm._FilterDatabase" localSheetId="0" hidden="1">'Active Comps'!$A$1:$AH$316</definedName>
    <definedName name="_xlnm._FilterDatabase" localSheetId="1" hidden="1">'Old Comps'!$A$1:$AG$1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3" l="1"/>
  <c r="U3" i="3"/>
  <c r="U229" i="3"/>
  <c r="Y229" i="3"/>
  <c r="R229" i="3"/>
  <c r="X229" i="3" s="1"/>
  <c r="R112" i="3"/>
  <c r="X112" i="3" s="1"/>
  <c r="Z112" i="3" s="1"/>
  <c r="Y112" i="3"/>
  <c r="R259" i="3"/>
  <c r="U112" i="3"/>
  <c r="U298" i="3"/>
  <c r="U260" i="3"/>
  <c r="R260" i="3"/>
  <c r="AA229" i="3" l="1"/>
  <c r="AB229" i="3" s="1"/>
  <c r="AC229" i="3" s="1"/>
  <c r="Z229" i="3"/>
  <c r="AA112" i="3"/>
  <c r="AB112" i="3" s="1"/>
  <c r="AC112" i="3" s="1"/>
  <c r="X260" i="3"/>
  <c r="Y260" i="3"/>
  <c r="R68" i="3"/>
  <c r="X68" i="3" s="1"/>
  <c r="U68" i="3"/>
  <c r="Y68" i="3"/>
  <c r="Y316" i="3"/>
  <c r="Y148" i="3"/>
  <c r="Y253" i="3"/>
  <c r="U316" i="3"/>
  <c r="U148" i="3"/>
  <c r="U253" i="3"/>
  <c r="R316" i="3"/>
  <c r="X316" i="3" s="1"/>
  <c r="Z316" i="3" s="1"/>
  <c r="R148" i="3"/>
  <c r="X148" i="3" s="1"/>
  <c r="Z148" i="3" s="1"/>
  <c r="R253" i="3"/>
  <c r="X253" i="3" s="1"/>
  <c r="Z253" i="3" s="1"/>
  <c r="Z260" i="3" l="1"/>
  <c r="AA260" i="3"/>
  <c r="AB260" i="3" s="1"/>
  <c r="AC260" i="3" s="1"/>
  <c r="Z68" i="3"/>
  <c r="AA68" i="3"/>
  <c r="AB68" i="3" s="1"/>
  <c r="AC68" i="3" s="1"/>
  <c r="AA148" i="3"/>
  <c r="AB148" i="3" s="1"/>
  <c r="AC148" i="3" s="1"/>
  <c r="AA316" i="3"/>
  <c r="AB316" i="3" s="1"/>
  <c r="AC316" i="3" s="1"/>
  <c r="R41" i="3" l="1"/>
  <c r="X41" i="3" s="1"/>
  <c r="Z41" i="3" s="1"/>
  <c r="Y41" i="3"/>
  <c r="U41" i="3"/>
  <c r="X30" i="3"/>
  <c r="Z30" i="3" s="1"/>
  <c r="X27" i="3"/>
  <c r="AA27" i="3" s="1"/>
  <c r="AB27" i="3" s="1"/>
  <c r="AC27" i="3" s="1"/>
  <c r="Y27" i="3"/>
  <c r="U27" i="3"/>
  <c r="X298" i="3"/>
  <c r="AA298" i="3" s="1"/>
  <c r="AB298" i="3" s="1"/>
  <c r="AC298" i="3" s="1"/>
  <c r="Y298" i="3"/>
  <c r="X228" i="3"/>
  <c r="Z228" i="3" s="1"/>
  <c r="Y228" i="3"/>
  <c r="U228" i="3"/>
  <c r="Y196" i="3"/>
  <c r="U196" i="3"/>
  <c r="Y30" i="3"/>
  <c r="X213" i="3"/>
  <c r="AA213" i="3" s="1"/>
  <c r="AB213" i="3" s="1"/>
  <c r="AC213" i="3" s="1"/>
  <c r="Y213" i="3"/>
  <c r="U30" i="3"/>
  <c r="U213" i="3"/>
  <c r="Z27" i="3" l="1"/>
  <c r="Z298" i="3"/>
  <c r="AA41" i="3"/>
  <c r="AB41" i="3" s="1"/>
  <c r="AC41" i="3" s="1"/>
  <c r="AA30" i="3"/>
  <c r="AB30" i="3" s="1"/>
  <c r="AC30" i="3" s="1"/>
  <c r="AA228" i="3"/>
  <c r="AB228" i="3" s="1"/>
  <c r="AC228" i="3" s="1"/>
  <c r="Z213" i="3"/>
  <c r="R165" i="3"/>
  <c r="X165" i="3" s="1"/>
  <c r="AA165" i="3" s="1"/>
  <c r="AB165" i="3" s="1"/>
  <c r="AC165" i="3" s="1"/>
  <c r="Y165" i="3"/>
  <c r="P251" i="3"/>
  <c r="Y279" i="3"/>
  <c r="R279" i="3"/>
  <c r="X279" i="3" s="1"/>
  <c r="AA279" i="3" s="1"/>
  <c r="AB279" i="3" s="1"/>
  <c r="AC279" i="3" s="1"/>
  <c r="U279" i="3"/>
  <c r="U189" i="3"/>
  <c r="U278" i="3"/>
  <c r="Q2" i="4"/>
  <c r="W2" i="4" s="1"/>
  <c r="Y2" i="4" s="1"/>
  <c r="T2" i="4"/>
  <c r="X2" i="4"/>
  <c r="Q12" i="4"/>
  <c r="W12" i="4" s="1"/>
  <c r="T12" i="4"/>
  <c r="X12" i="4"/>
  <c r="Q20" i="4"/>
  <c r="W20" i="4" s="1"/>
  <c r="T20" i="4"/>
  <c r="X20" i="4"/>
  <c r="Q46" i="4"/>
  <c r="W46" i="4" s="1"/>
  <c r="T46" i="4"/>
  <c r="X46" i="4"/>
  <c r="Q16" i="4"/>
  <c r="W16" i="4" s="1"/>
  <c r="T16" i="4"/>
  <c r="X16" i="4"/>
  <c r="Q18" i="4"/>
  <c r="W18" i="4" s="1"/>
  <c r="T18" i="4"/>
  <c r="X18" i="4"/>
  <c r="Q48" i="4"/>
  <c r="W48" i="4" s="1"/>
  <c r="T48" i="4"/>
  <c r="X48" i="4"/>
  <c r="Q49" i="4"/>
  <c r="W49" i="4" s="1"/>
  <c r="T49" i="4"/>
  <c r="X49" i="4"/>
  <c r="X15" i="4"/>
  <c r="T15" i="4"/>
  <c r="Q15" i="4"/>
  <c r="W15" i="4" s="1"/>
  <c r="X8" i="4"/>
  <c r="T8" i="4"/>
  <c r="Q8" i="4"/>
  <c r="W8" i="4" s="1"/>
  <c r="X44" i="4"/>
  <c r="T44" i="4"/>
  <c r="Q44" i="4"/>
  <c r="W44" i="4" s="1"/>
  <c r="X43" i="4"/>
  <c r="T43" i="4"/>
  <c r="Q43" i="4"/>
  <c r="W43" i="4" s="1"/>
  <c r="X42" i="4"/>
  <c r="T42" i="4"/>
  <c r="Q42" i="4"/>
  <c r="W42" i="4" s="1"/>
  <c r="X9" i="4"/>
  <c r="T9" i="4"/>
  <c r="Q9" i="4"/>
  <c r="W9" i="4" s="1"/>
  <c r="X38" i="4"/>
  <c r="T38" i="4"/>
  <c r="Q38" i="4"/>
  <c r="W38" i="4" s="1"/>
  <c r="X7" i="4"/>
  <c r="T7" i="4"/>
  <c r="Q7" i="4"/>
  <c r="W7" i="4" s="1"/>
  <c r="X37" i="4"/>
  <c r="T37" i="4"/>
  <c r="Q37" i="4"/>
  <c r="W37" i="4" s="1"/>
  <c r="X36" i="4"/>
  <c r="T36" i="4"/>
  <c r="Q36" i="4"/>
  <c r="W36" i="4" s="1"/>
  <c r="X5" i="4"/>
  <c r="T5" i="4"/>
  <c r="Q5" i="4"/>
  <c r="W5" i="4" s="1"/>
  <c r="X41" i="4"/>
  <c r="T41" i="4"/>
  <c r="Q41" i="4"/>
  <c r="W41" i="4" s="1"/>
  <c r="Z41" i="4" s="1"/>
  <c r="AA41" i="4" s="1"/>
  <c r="X45" i="4"/>
  <c r="T45" i="4"/>
  <c r="Q45" i="4"/>
  <c r="W45" i="4" s="1"/>
  <c r="X21" i="4"/>
  <c r="T21" i="4"/>
  <c r="Q21" i="4"/>
  <c r="W21" i="4" s="1"/>
  <c r="X47" i="4"/>
  <c r="T47" i="4"/>
  <c r="Q47" i="4"/>
  <c r="W47" i="4" s="1"/>
  <c r="X35" i="4"/>
  <c r="T35" i="4"/>
  <c r="Q35" i="4"/>
  <c r="W35" i="4" s="1"/>
  <c r="Z35" i="4" s="1"/>
  <c r="AA35" i="4" s="1"/>
  <c r="X19" i="4"/>
  <c r="T19" i="4"/>
  <c r="Q19" i="4"/>
  <c r="W19" i="4" s="1"/>
  <c r="Z19" i="4" s="1"/>
  <c r="AA19" i="4" s="1"/>
  <c r="X22" i="4"/>
  <c r="T22" i="4"/>
  <c r="Q22" i="4"/>
  <c r="W22" i="4" s="1"/>
  <c r="X3" i="4"/>
  <c r="T3" i="4"/>
  <c r="Q3" i="4"/>
  <c r="W3" i="4" s="1"/>
  <c r="X24" i="4"/>
  <c r="T24" i="4"/>
  <c r="Q24" i="4"/>
  <c r="W24" i="4" s="1"/>
  <c r="Z24" i="4" s="1"/>
  <c r="AA24" i="4" s="1"/>
  <c r="X29" i="4"/>
  <c r="T29" i="4"/>
  <c r="Q29" i="4"/>
  <c r="W29" i="4" s="1"/>
  <c r="X34" i="4"/>
  <c r="T34" i="4"/>
  <c r="Q34" i="4"/>
  <c r="W34" i="4" s="1"/>
  <c r="X10" i="4"/>
  <c r="T10" i="4"/>
  <c r="Q10" i="4"/>
  <c r="W10" i="4" s="1"/>
  <c r="Z10" i="4" s="1"/>
  <c r="AA10" i="4" s="1"/>
  <c r="X33" i="4"/>
  <c r="T33" i="4"/>
  <c r="Q33" i="4"/>
  <c r="W33" i="4" s="1"/>
  <c r="Z33" i="4" s="1"/>
  <c r="AA33" i="4" s="1"/>
  <c r="X50" i="4"/>
  <c r="T50" i="4"/>
  <c r="Q50" i="4"/>
  <c r="W50" i="4" s="1"/>
  <c r="Z50" i="4" s="1"/>
  <c r="AA50" i="4" s="1"/>
  <c r="X28" i="4"/>
  <c r="T28" i="4"/>
  <c r="Q28" i="4"/>
  <c r="W28" i="4" s="1"/>
  <c r="X51" i="4"/>
  <c r="T51" i="4"/>
  <c r="Q51" i="4"/>
  <c r="W51" i="4" s="1"/>
  <c r="X17" i="4"/>
  <c r="T17" i="4"/>
  <c r="Q17" i="4"/>
  <c r="W17" i="4" s="1"/>
  <c r="Z17" i="4" s="1"/>
  <c r="AA17" i="4" s="1"/>
  <c r="X31" i="4"/>
  <c r="T31" i="4"/>
  <c r="Q31" i="4"/>
  <c r="W31" i="4" s="1"/>
  <c r="X30" i="4"/>
  <c r="T30" i="4"/>
  <c r="Q30" i="4"/>
  <c r="W30" i="4" s="1"/>
  <c r="X40" i="4"/>
  <c r="T40" i="4"/>
  <c r="Q40" i="4"/>
  <c r="W40" i="4" s="1"/>
  <c r="X14" i="4"/>
  <c r="T14" i="4"/>
  <c r="Q14" i="4"/>
  <c r="W14" i="4" s="1"/>
  <c r="Z14" i="4" s="1"/>
  <c r="AA14" i="4" s="1"/>
  <c r="X13" i="4"/>
  <c r="T13" i="4"/>
  <c r="Q13" i="4"/>
  <c r="W13" i="4" s="1"/>
  <c r="Z13" i="4" s="1"/>
  <c r="AA13" i="4" s="1"/>
  <c r="X25" i="4"/>
  <c r="T25" i="4"/>
  <c r="Q25" i="4"/>
  <c r="W25" i="4" s="1"/>
  <c r="X6" i="4"/>
  <c r="T6" i="4"/>
  <c r="Q6" i="4"/>
  <c r="W6" i="4" s="1"/>
  <c r="X23" i="4"/>
  <c r="T23" i="4"/>
  <c r="Q23" i="4"/>
  <c r="W23" i="4" s="1"/>
  <c r="Z23" i="4" s="1"/>
  <c r="AA23" i="4" s="1"/>
  <c r="X32" i="4"/>
  <c r="T32" i="4"/>
  <c r="Q32" i="4"/>
  <c r="W32" i="4" s="1"/>
  <c r="X11" i="4"/>
  <c r="T11" i="4"/>
  <c r="Q11" i="4"/>
  <c r="W11" i="4" s="1"/>
  <c r="X52" i="4"/>
  <c r="T52" i="4"/>
  <c r="Q52" i="4"/>
  <c r="W52" i="4" s="1"/>
  <c r="X53" i="4"/>
  <c r="T53" i="4"/>
  <c r="Q53" i="4"/>
  <c r="W53" i="4" s="1"/>
  <c r="Z53" i="4" s="1"/>
  <c r="AA53" i="4" s="1"/>
  <c r="X39" i="4"/>
  <c r="T39" i="4"/>
  <c r="Q39" i="4"/>
  <c r="W39" i="4" s="1"/>
  <c r="Z39" i="4" s="1"/>
  <c r="AA39" i="4" s="1"/>
  <c r="X4" i="4"/>
  <c r="T4" i="4"/>
  <c r="Q4" i="4"/>
  <c r="W4" i="4" s="1"/>
  <c r="X27" i="4"/>
  <c r="T27" i="4"/>
  <c r="Q27" i="4"/>
  <c r="W27" i="4" s="1"/>
  <c r="X26" i="4"/>
  <c r="T26" i="4"/>
  <c r="Q26" i="4"/>
  <c r="W26" i="4" s="1"/>
  <c r="Z26" i="4" s="1"/>
  <c r="AA26" i="4" s="1"/>
  <c r="Y149" i="3"/>
  <c r="U149" i="3"/>
  <c r="R149" i="3"/>
  <c r="X149" i="3" s="1"/>
  <c r="Y268" i="3"/>
  <c r="U268" i="3"/>
  <c r="R268" i="3"/>
  <c r="X268" i="3" s="1"/>
  <c r="Y212" i="3"/>
  <c r="U212" i="3"/>
  <c r="R212" i="3"/>
  <c r="X212" i="3" s="1"/>
  <c r="Y168" i="3"/>
  <c r="U168" i="3"/>
  <c r="R168" i="3"/>
  <c r="X168" i="3" s="1"/>
  <c r="Z168" i="3" s="1"/>
  <c r="Y186" i="3"/>
  <c r="U186" i="3"/>
  <c r="R186" i="3"/>
  <c r="X186" i="3" s="1"/>
  <c r="Y153" i="3"/>
  <c r="U153" i="3"/>
  <c r="R153" i="3"/>
  <c r="X153" i="3" s="1"/>
  <c r="Y129" i="3"/>
  <c r="U129" i="3"/>
  <c r="R129" i="3"/>
  <c r="X129" i="3" s="1"/>
  <c r="AA129" i="3" s="1"/>
  <c r="AB129" i="3" s="1"/>
  <c r="AC129" i="3" s="1"/>
  <c r="Y289" i="3"/>
  <c r="U289" i="3"/>
  <c r="R289" i="3"/>
  <c r="X289" i="3" s="1"/>
  <c r="Y135" i="3"/>
  <c r="U135" i="3"/>
  <c r="R135" i="3"/>
  <c r="X135" i="3" s="1"/>
  <c r="Y145" i="3"/>
  <c r="U145" i="3"/>
  <c r="R145" i="3"/>
  <c r="X145" i="3" s="1"/>
  <c r="AA145" i="3" s="1"/>
  <c r="AB145" i="3" s="1"/>
  <c r="Y217" i="3"/>
  <c r="U217" i="3"/>
  <c r="R217" i="3"/>
  <c r="X217" i="3" s="1"/>
  <c r="AA217" i="3" s="1"/>
  <c r="AB217" i="3" s="1"/>
  <c r="AC217" i="3" s="1"/>
  <c r="Y264" i="3"/>
  <c r="U264" i="3"/>
  <c r="R264" i="3"/>
  <c r="X264" i="3" s="1"/>
  <c r="AA264" i="3" s="1"/>
  <c r="AB264" i="3" s="1"/>
  <c r="AC264" i="3" s="1"/>
  <c r="Y146" i="3"/>
  <c r="U146" i="3"/>
  <c r="R146" i="3"/>
  <c r="X146" i="3" s="1"/>
  <c r="AA146" i="3" s="1"/>
  <c r="AB146" i="3" s="1"/>
  <c r="AC146" i="3" s="1"/>
  <c r="Y140" i="3"/>
  <c r="U140" i="3"/>
  <c r="R140" i="3"/>
  <c r="X140" i="3" s="1"/>
  <c r="AA140" i="3" s="1"/>
  <c r="AB140" i="3" s="1"/>
  <c r="AC140" i="3" s="1"/>
  <c r="Y225" i="3"/>
  <c r="U225" i="3"/>
  <c r="R225" i="3"/>
  <c r="X225" i="3" s="1"/>
  <c r="AA225" i="3" s="1"/>
  <c r="AB225" i="3" s="1"/>
  <c r="AC225" i="3" s="1"/>
  <c r="Y79" i="3"/>
  <c r="U79" i="3"/>
  <c r="R79" i="3"/>
  <c r="X79" i="3" s="1"/>
  <c r="Y231" i="3"/>
  <c r="U231" i="3"/>
  <c r="R231" i="3"/>
  <c r="X231" i="3" s="1"/>
  <c r="AA231" i="3" s="1"/>
  <c r="AB231" i="3" s="1"/>
  <c r="AC231" i="3" s="1"/>
  <c r="Y230" i="3"/>
  <c r="U230" i="3"/>
  <c r="R230" i="3"/>
  <c r="X230" i="3" s="1"/>
  <c r="AA230" i="3" s="1"/>
  <c r="AB230" i="3" s="1"/>
  <c r="AC230" i="3" s="1"/>
  <c r="AC170" i="3"/>
  <c r="Y170" i="3"/>
  <c r="U170" i="3"/>
  <c r="R170" i="3"/>
  <c r="X170" i="3" s="1"/>
  <c r="Y144" i="3"/>
  <c r="U144" i="3"/>
  <c r="R144" i="3"/>
  <c r="X144" i="3" s="1"/>
  <c r="Z144" i="3" s="1"/>
  <c r="Y211" i="3"/>
  <c r="U211" i="3"/>
  <c r="R211" i="3"/>
  <c r="X211" i="3" s="1"/>
  <c r="Y8" i="3"/>
  <c r="U8" i="3"/>
  <c r="R8" i="3"/>
  <c r="X8" i="3" s="1"/>
  <c r="Y220" i="3"/>
  <c r="U220" i="3"/>
  <c r="R220" i="3"/>
  <c r="X220" i="3" s="1"/>
  <c r="Z220" i="3" s="1"/>
  <c r="Y293" i="3"/>
  <c r="U293" i="3"/>
  <c r="R293" i="3"/>
  <c r="X293" i="3" s="1"/>
  <c r="Z293" i="3" s="1"/>
  <c r="Y276" i="3"/>
  <c r="U276" i="3"/>
  <c r="R276" i="3"/>
  <c r="X276" i="3" s="1"/>
  <c r="Y76" i="3"/>
  <c r="U76" i="3"/>
  <c r="R76" i="3"/>
  <c r="X76" i="3" s="1"/>
  <c r="Y208" i="3"/>
  <c r="U208" i="3"/>
  <c r="R208" i="3"/>
  <c r="X208" i="3" s="1"/>
  <c r="Y304" i="3"/>
  <c r="U304" i="3"/>
  <c r="R304" i="3"/>
  <c r="X304" i="3" s="1"/>
  <c r="Y257" i="3"/>
  <c r="U257" i="3"/>
  <c r="R257" i="3"/>
  <c r="X257" i="3" s="1"/>
  <c r="Z257" i="3" s="1"/>
  <c r="Y209" i="3"/>
  <c r="U209" i="3"/>
  <c r="R209" i="3"/>
  <c r="X209" i="3" s="1"/>
  <c r="Y111" i="3"/>
  <c r="U111" i="3"/>
  <c r="R111" i="3"/>
  <c r="X111" i="3" s="1"/>
  <c r="Y273" i="3"/>
  <c r="U273" i="3"/>
  <c r="R273" i="3"/>
  <c r="X273" i="3" s="1"/>
  <c r="Z273" i="3" s="1"/>
  <c r="Y98" i="3"/>
  <c r="U98" i="3"/>
  <c r="R98" i="3"/>
  <c r="X98" i="3" s="1"/>
  <c r="Y313" i="3"/>
  <c r="U313" i="3"/>
  <c r="R313" i="3"/>
  <c r="X313" i="3" s="1"/>
  <c r="Z313" i="3" s="1"/>
  <c r="Y94" i="3"/>
  <c r="U94" i="3"/>
  <c r="R94" i="3"/>
  <c r="X94" i="3" s="1"/>
  <c r="Y95" i="3"/>
  <c r="U95" i="3"/>
  <c r="R95" i="3"/>
  <c r="X95" i="3" s="1"/>
  <c r="Y92" i="3"/>
  <c r="U92" i="3"/>
  <c r="R92" i="3"/>
  <c r="X92" i="3" s="1"/>
  <c r="Y3" i="3"/>
  <c r="R3" i="3"/>
  <c r="Y58" i="3"/>
  <c r="U58" i="3"/>
  <c r="R58" i="3"/>
  <c r="X58" i="3" s="1"/>
  <c r="Y66" i="3"/>
  <c r="U66" i="3"/>
  <c r="R66" i="3"/>
  <c r="X66" i="3" s="1"/>
  <c r="Y16" i="3"/>
  <c r="U16" i="3"/>
  <c r="R16" i="3"/>
  <c r="X16" i="3" s="1"/>
  <c r="Z16" i="3" s="1"/>
  <c r="Y137" i="3"/>
  <c r="U137" i="3"/>
  <c r="R137" i="3"/>
  <c r="X137" i="3" s="1"/>
  <c r="AA137" i="3" s="1"/>
  <c r="AB137" i="3" s="1"/>
  <c r="AC137" i="3" s="1"/>
  <c r="Y292" i="3"/>
  <c r="U292" i="3"/>
  <c r="R292" i="3"/>
  <c r="X292" i="3" s="1"/>
  <c r="AA292" i="3" s="1"/>
  <c r="AB292" i="3" s="1"/>
  <c r="AC292" i="3" s="1"/>
  <c r="Y291" i="3"/>
  <c r="U291" i="3"/>
  <c r="R291" i="3"/>
  <c r="X291" i="3" s="1"/>
  <c r="Y201" i="3"/>
  <c r="U201" i="3"/>
  <c r="R201" i="3"/>
  <c r="X201" i="3" s="1"/>
  <c r="Z201" i="3" s="1"/>
  <c r="Y197" i="3"/>
  <c r="U197" i="3"/>
  <c r="R197" i="3"/>
  <c r="X197" i="3" s="1"/>
  <c r="Z197" i="3" s="1"/>
  <c r="Y285" i="3"/>
  <c r="U285" i="3"/>
  <c r="R285" i="3"/>
  <c r="X285" i="3" s="1"/>
  <c r="AA285" i="3" s="1"/>
  <c r="AB285" i="3" s="1"/>
  <c r="AC285" i="3" s="1"/>
  <c r="AC255" i="3"/>
  <c r="Y255" i="3"/>
  <c r="U255" i="3"/>
  <c r="R255" i="3"/>
  <c r="X255" i="3" s="1"/>
  <c r="Z255" i="3" s="1"/>
  <c r="Y241" i="3"/>
  <c r="U241" i="3"/>
  <c r="R241" i="3"/>
  <c r="X241" i="3" s="1"/>
  <c r="Z241" i="3" s="1"/>
  <c r="Y308" i="3"/>
  <c r="U308" i="3"/>
  <c r="R308" i="3"/>
  <c r="X308" i="3" s="1"/>
  <c r="Z308" i="3" s="1"/>
  <c r="Y85" i="3"/>
  <c r="U85" i="3"/>
  <c r="R85" i="3"/>
  <c r="X85" i="3" s="1"/>
  <c r="Y266" i="3"/>
  <c r="U266" i="3"/>
  <c r="R266" i="3"/>
  <c r="X266" i="3" s="1"/>
  <c r="AA266" i="3" s="1"/>
  <c r="AB266" i="3" s="1"/>
  <c r="AC266" i="3" s="1"/>
  <c r="Y133" i="3"/>
  <c r="U133" i="3"/>
  <c r="R133" i="3"/>
  <c r="X133" i="3" s="1"/>
  <c r="AA133" i="3" s="1"/>
  <c r="AB133" i="3" s="1"/>
  <c r="AC133" i="3" s="1"/>
  <c r="Y31" i="3"/>
  <c r="U31" i="3"/>
  <c r="R31" i="3"/>
  <c r="X31" i="3" s="1"/>
  <c r="Z31" i="3" s="1"/>
  <c r="Y33" i="3"/>
  <c r="U33" i="3"/>
  <c r="R33" i="3"/>
  <c r="X33" i="3" s="1"/>
  <c r="Y233" i="3"/>
  <c r="U233" i="3"/>
  <c r="R233" i="3"/>
  <c r="X233" i="3" s="1"/>
  <c r="AA233" i="3" s="1"/>
  <c r="AB233" i="3" s="1"/>
  <c r="AC233" i="3" s="1"/>
  <c r="Y138" i="3"/>
  <c r="U138" i="3"/>
  <c r="R138" i="3"/>
  <c r="X138" i="3" s="1"/>
  <c r="AA138" i="3" s="1"/>
  <c r="AB138" i="3" s="1"/>
  <c r="AC138" i="3" s="1"/>
  <c r="Y227" i="3"/>
  <c r="U227" i="3"/>
  <c r="R227" i="3"/>
  <c r="X227" i="3" s="1"/>
  <c r="Z227" i="3" s="1"/>
  <c r="Y131" i="3"/>
  <c r="U131" i="3"/>
  <c r="R131" i="3"/>
  <c r="X131" i="3" s="1"/>
  <c r="Y187" i="3"/>
  <c r="U187" i="3"/>
  <c r="R187" i="3"/>
  <c r="X187" i="3" s="1"/>
  <c r="AA187" i="3" s="1"/>
  <c r="AB187" i="3" s="1"/>
  <c r="AC187" i="3" s="1"/>
  <c r="Y198" i="3"/>
  <c r="U198" i="3"/>
  <c r="R198" i="3"/>
  <c r="X198" i="3" s="1"/>
  <c r="AA198" i="3" s="1"/>
  <c r="AB198" i="3" s="1"/>
  <c r="AC198" i="3" s="1"/>
  <c r="Y97" i="3"/>
  <c r="U97" i="3"/>
  <c r="R97" i="3"/>
  <c r="X97" i="3" s="1"/>
  <c r="Y286" i="3"/>
  <c r="U286" i="3"/>
  <c r="R286" i="3"/>
  <c r="X286" i="3" s="1"/>
  <c r="Z286" i="3" s="1"/>
  <c r="Y10" i="3"/>
  <c r="U10" i="3"/>
  <c r="R10" i="3"/>
  <c r="X10" i="3" s="1"/>
  <c r="Z10" i="3" s="1"/>
  <c r="Y282" i="3"/>
  <c r="U282" i="3"/>
  <c r="R282" i="3"/>
  <c r="X282" i="3" s="1"/>
  <c r="Y134" i="3"/>
  <c r="U134" i="3"/>
  <c r="R134" i="3"/>
  <c r="X134" i="3" s="1"/>
  <c r="Y87" i="3"/>
  <c r="U87" i="3"/>
  <c r="R87" i="3"/>
  <c r="X87" i="3" s="1"/>
  <c r="Y278" i="3"/>
  <c r="R278" i="3"/>
  <c r="X278" i="3" s="1"/>
  <c r="AA278" i="3" s="1"/>
  <c r="AB278" i="3" s="1"/>
  <c r="AC278" i="3" s="1"/>
  <c r="Y171" i="3"/>
  <c r="U171" i="3"/>
  <c r="R171" i="3"/>
  <c r="X171" i="3" s="1"/>
  <c r="Y191" i="3"/>
  <c r="U191" i="3"/>
  <c r="R191" i="3"/>
  <c r="X191" i="3" s="1"/>
  <c r="Z191" i="3" s="1"/>
  <c r="Y116" i="3"/>
  <c r="U116" i="3"/>
  <c r="R116" i="3"/>
  <c r="X116" i="3" s="1"/>
  <c r="Y107" i="3"/>
  <c r="U107" i="3"/>
  <c r="R107" i="3"/>
  <c r="X107" i="3" s="1"/>
  <c r="Y22" i="3"/>
  <c r="U22" i="3"/>
  <c r="R22" i="3"/>
  <c r="X22" i="3" s="1"/>
  <c r="Y139" i="3"/>
  <c r="U139" i="3"/>
  <c r="R139" i="3"/>
  <c r="X139" i="3" s="1"/>
  <c r="AA139" i="3" s="1"/>
  <c r="AB139" i="3" s="1"/>
  <c r="AC139" i="3" s="1"/>
  <c r="Y62" i="3"/>
  <c r="U62" i="3"/>
  <c r="R62" i="3"/>
  <c r="X62" i="3" s="1"/>
  <c r="Y284" i="3"/>
  <c r="U284" i="3"/>
  <c r="R284" i="3"/>
  <c r="X284" i="3" s="1"/>
  <c r="Y2" i="3"/>
  <c r="U2" i="3"/>
  <c r="R2" i="3"/>
  <c r="X2" i="3" s="1"/>
  <c r="Z2" i="3" s="1"/>
  <c r="Y151" i="3"/>
  <c r="U151" i="3"/>
  <c r="R151" i="3"/>
  <c r="X151" i="3" s="1"/>
  <c r="AA151" i="3" s="1"/>
  <c r="AB151" i="3" s="1"/>
  <c r="AC151" i="3" s="1"/>
  <c r="Y181" i="3"/>
  <c r="U181" i="3"/>
  <c r="R181" i="3"/>
  <c r="X181" i="3" s="1"/>
  <c r="Z181" i="3" s="1"/>
  <c r="Y38" i="3"/>
  <c r="U38" i="3"/>
  <c r="R38" i="3"/>
  <c r="X38" i="3" s="1"/>
  <c r="Y63" i="3"/>
  <c r="U63" i="3"/>
  <c r="R63" i="3"/>
  <c r="X63" i="3" s="1"/>
  <c r="Z63" i="3" s="1"/>
  <c r="Y174" i="3"/>
  <c r="U174" i="3"/>
  <c r="R174" i="3"/>
  <c r="X174" i="3" s="1"/>
  <c r="AA174" i="3" s="1"/>
  <c r="AB174" i="3" s="1"/>
  <c r="AC174" i="3" s="1"/>
  <c r="Y247" i="3"/>
  <c r="U247" i="3"/>
  <c r="R247" i="3"/>
  <c r="X247" i="3" s="1"/>
  <c r="Z247" i="3" s="1"/>
  <c r="Y9" i="3"/>
  <c r="U9" i="3"/>
  <c r="R9" i="3"/>
  <c r="X9" i="3" s="1"/>
  <c r="AA9" i="3" s="1"/>
  <c r="AB9" i="3" s="1"/>
  <c r="AC9" i="3" s="1"/>
  <c r="Y210" i="3"/>
  <c r="U210" i="3"/>
  <c r="R210" i="3"/>
  <c r="X210" i="3" s="1"/>
  <c r="Z210" i="3" s="1"/>
  <c r="Y52" i="3"/>
  <c r="U52" i="3"/>
  <c r="R52" i="3"/>
  <c r="X52" i="3" s="1"/>
  <c r="AA52" i="3" s="1"/>
  <c r="AB52" i="3" s="1"/>
  <c r="AC52" i="3" s="1"/>
  <c r="Y37" i="3"/>
  <c r="U37" i="3"/>
  <c r="R37" i="3"/>
  <c r="X37" i="3" s="1"/>
  <c r="Z37" i="3" s="1"/>
  <c r="Y204" i="3"/>
  <c r="U204" i="3"/>
  <c r="R204" i="3"/>
  <c r="X204" i="3" s="1"/>
  <c r="Y239" i="3"/>
  <c r="U239" i="3"/>
  <c r="R239" i="3"/>
  <c r="X239" i="3" s="1"/>
  <c r="AA239" i="3" s="1"/>
  <c r="AB239" i="3" s="1"/>
  <c r="AC239" i="3" s="1"/>
  <c r="Y105" i="3"/>
  <c r="U105" i="3"/>
  <c r="R105" i="3"/>
  <c r="X105" i="3" s="1"/>
  <c r="Z105" i="3" s="1"/>
  <c r="Y132" i="3"/>
  <c r="U132" i="3"/>
  <c r="R132" i="3"/>
  <c r="X132" i="3" s="1"/>
  <c r="Z132" i="3" s="1"/>
  <c r="Y223" i="3"/>
  <c r="U223" i="3"/>
  <c r="R223" i="3"/>
  <c r="X223" i="3" s="1"/>
  <c r="Y13" i="3"/>
  <c r="U13" i="3"/>
  <c r="R13" i="3"/>
  <c r="X13" i="3" s="1"/>
  <c r="Y184" i="3"/>
  <c r="U184" i="3"/>
  <c r="R184" i="3"/>
  <c r="X184" i="3" s="1"/>
  <c r="Y193" i="3"/>
  <c r="U193" i="3"/>
  <c r="R193" i="3"/>
  <c r="X193" i="3" s="1"/>
  <c r="Y26" i="3"/>
  <c r="U26" i="3"/>
  <c r="R26" i="3"/>
  <c r="X26" i="3" s="1"/>
  <c r="Z26" i="3" s="1"/>
  <c r="Y207" i="3"/>
  <c r="U207" i="3"/>
  <c r="R207" i="3"/>
  <c r="X207" i="3" s="1"/>
  <c r="Z207" i="3" s="1"/>
  <c r="Y101" i="3"/>
  <c r="U101" i="3"/>
  <c r="R101" i="3"/>
  <c r="X101" i="3" s="1"/>
  <c r="Y55" i="3"/>
  <c r="U55" i="3"/>
  <c r="R55" i="3"/>
  <c r="X55" i="3" s="1"/>
  <c r="Y67" i="3"/>
  <c r="U67" i="3"/>
  <c r="R67" i="3"/>
  <c r="X67" i="3" s="1"/>
  <c r="Z67" i="3" s="1"/>
  <c r="Y7" i="3"/>
  <c r="U7" i="3"/>
  <c r="R7" i="3"/>
  <c r="X7" i="3" s="1"/>
  <c r="Z7" i="3" s="1"/>
  <c r="Y243" i="3"/>
  <c r="U243" i="3"/>
  <c r="R243" i="3"/>
  <c r="X243" i="3" s="1"/>
  <c r="Y128" i="3"/>
  <c r="U128" i="3"/>
  <c r="R128" i="3"/>
  <c r="X128" i="3" s="1"/>
  <c r="Y59" i="3"/>
  <c r="U59" i="3"/>
  <c r="R59" i="3"/>
  <c r="X59" i="3" s="1"/>
  <c r="Z59" i="3" s="1"/>
  <c r="Y102" i="3"/>
  <c r="U102" i="3"/>
  <c r="R102" i="3"/>
  <c r="X102" i="3" s="1"/>
  <c r="Z102" i="3" s="1"/>
  <c r="Y150" i="3"/>
  <c r="U150" i="3"/>
  <c r="R150" i="3"/>
  <c r="X150" i="3" s="1"/>
  <c r="Z150" i="3" s="1"/>
  <c r="Y205" i="3"/>
  <c r="U205" i="3"/>
  <c r="R205" i="3"/>
  <c r="X205" i="3" s="1"/>
  <c r="Y172" i="3"/>
  <c r="U172" i="3"/>
  <c r="R172" i="3"/>
  <c r="X172" i="3" s="1"/>
  <c r="Z172" i="3" s="1"/>
  <c r="Y130" i="3"/>
  <c r="U130" i="3"/>
  <c r="R130" i="3"/>
  <c r="X130" i="3" s="1"/>
  <c r="Y99" i="3"/>
  <c r="U99" i="3"/>
  <c r="R99" i="3"/>
  <c r="X99" i="3" s="1"/>
  <c r="Y21" i="3"/>
  <c r="U21" i="3"/>
  <c r="R21" i="3"/>
  <c r="X21" i="3" s="1"/>
  <c r="Z21" i="3" s="1"/>
  <c r="Y242" i="3"/>
  <c r="U242" i="3"/>
  <c r="R242" i="3"/>
  <c r="X242" i="3" s="1"/>
  <c r="Z242" i="3" s="1"/>
  <c r="Y178" i="3"/>
  <c r="U178" i="3"/>
  <c r="R178" i="3"/>
  <c r="X178" i="3" s="1"/>
  <c r="Z178" i="3" s="1"/>
  <c r="Y160" i="3"/>
  <c r="U160" i="3"/>
  <c r="R160" i="3"/>
  <c r="X160" i="3" s="1"/>
  <c r="Z160" i="3" s="1"/>
  <c r="Y48" i="3"/>
  <c r="U48" i="3"/>
  <c r="R48" i="3"/>
  <c r="X48" i="3" s="1"/>
  <c r="Y189" i="3"/>
  <c r="R189" i="3"/>
  <c r="X189" i="3" s="1"/>
  <c r="Y86" i="3"/>
  <c r="U86" i="3"/>
  <c r="R86" i="3"/>
  <c r="X86" i="3" s="1"/>
  <c r="Y154" i="3"/>
  <c r="U154" i="3"/>
  <c r="R154" i="3"/>
  <c r="X154" i="3" s="1"/>
  <c r="Z154" i="3" s="1"/>
  <c r="Y19" i="3"/>
  <c r="U19" i="3"/>
  <c r="R19" i="3"/>
  <c r="X19" i="3" s="1"/>
  <c r="Z19" i="3" s="1"/>
  <c r="Y206" i="3"/>
  <c r="U206" i="3"/>
  <c r="R206" i="3"/>
  <c r="X206" i="3" s="1"/>
  <c r="Z206" i="3" s="1"/>
  <c r="Y18" i="3"/>
  <c r="U18" i="3"/>
  <c r="R18" i="3"/>
  <c r="X18" i="3" s="1"/>
  <c r="Z18" i="3" s="1"/>
  <c r="Y166" i="3"/>
  <c r="U166" i="3"/>
  <c r="R166" i="3"/>
  <c r="X166" i="3" s="1"/>
  <c r="Y234" i="3"/>
  <c r="U234" i="3"/>
  <c r="R234" i="3"/>
  <c r="X234" i="3" s="1"/>
  <c r="Y167" i="3"/>
  <c r="U167" i="3"/>
  <c r="R167" i="3"/>
  <c r="X167" i="3" s="1"/>
  <c r="Y77" i="3"/>
  <c r="U77" i="3"/>
  <c r="R77" i="3"/>
  <c r="X77" i="3" s="1"/>
  <c r="Y82" i="3"/>
  <c r="U82" i="3"/>
  <c r="R82" i="3"/>
  <c r="X82" i="3" s="1"/>
  <c r="Z82" i="3" s="1"/>
  <c r="Y88" i="3"/>
  <c r="U88" i="3"/>
  <c r="R88" i="3"/>
  <c r="X88" i="3" s="1"/>
  <c r="Y305" i="3"/>
  <c r="U305" i="3"/>
  <c r="R305" i="3"/>
  <c r="X305" i="3" s="1"/>
  <c r="Z305" i="3" s="1"/>
  <c r="Y32" i="3"/>
  <c r="U32" i="3"/>
  <c r="R32" i="3"/>
  <c r="X32" i="3" s="1"/>
  <c r="Y314" i="3"/>
  <c r="U314" i="3"/>
  <c r="R314" i="3"/>
  <c r="X314" i="3" s="1"/>
  <c r="Y147" i="3"/>
  <c r="U147" i="3"/>
  <c r="R147" i="3"/>
  <c r="X147" i="3" s="1"/>
  <c r="Z147" i="3" s="1"/>
  <c r="Y155" i="3"/>
  <c r="U155" i="3"/>
  <c r="R155" i="3"/>
  <c r="X155" i="3" s="1"/>
  <c r="AA155" i="3" s="1"/>
  <c r="AB155" i="3" s="1"/>
  <c r="AC155" i="3" s="1"/>
  <c r="Y195" i="3"/>
  <c r="U195" i="3"/>
  <c r="R195" i="3"/>
  <c r="X195" i="3" s="1"/>
  <c r="Y271" i="3"/>
  <c r="U271" i="3"/>
  <c r="R271" i="3"/>
  <c r="X271" i="3" s="1"/>
  <c r="Y185" i="3"/>
  <c r="U185" i="3"/>
  <c r="R185" i="3"/>
  <c r="X185" i="3" s="1"/>
  <c r="AA185" i="3" s="1"/>
  <c r="AB185" i="3" s="1"/>
  <c r="AC185" i="3" s="1"/>
  <c r="Y73" i="3"/>
  <c r="U73" i="3"/>
  <c r="R73" i="3"/>
  <c r="X73" i="3" s="1"/>
  <c r="Y136" i="3"/>
  <c r="U136" i="3"/>
  <c r="R136" i="3"/>
  <c r="X136" i="3" s="1"/>
  <c r="Y294" i="3"/>
  <c r="U294" i="3"/>
  <c r="R294" i="3"/>
  <c r="X294" i="3" s="1"/>
  <c r="AA294" i="3" s="1"/>
  <c r="AB294" i="3" s="1"/>
  <c r="AC294" i="3" s="1"/>
  <c r="Y152" i="3"/>
  <c r="U152" i="3"/>
  <c r="R152" i="3"/>
  <c r="X152" i="3" s="1"/>
  <c r="Y78" i="3"/>
  <c r="U78" i="3"/>
  <c r="R78" i="3"/>
  <c r="X78" i="3" s="1"/>
  <c r="AA78" i="3" s="1"/>
  <c r="AB78" i="3" s="1"/>
  <c r="AC78" i="3" s="1"/>
  <c r="Y277" i="3"/>
  <c r="U277" i="3"/>
  <c r="R277" i="3"/>
  <c r="X277" i="3" s="1"/>
  <c r="AA277" i="3" s="1"/>
  <c r="AB277" i="3" s="1"/>
  <c r="AC277" i="3" s="1"/>
  <c r="Y158" i="3"/>
  <c r="U158" i="3"/>
  <c r="R158" i="3"/>
  <c r="X158" i="3" s="1"/>
  <c r="Y159" i="3"/>
  <c r="U159" i="3"/>
  <c r="R159" i="3"/>
  <c r="X159" i="3" s="1"/>
  <c r="AA159" i="3" s="1"/>
  <c r="AB159" i="3" s="1"/>
  <c r="AC159" i="3" s="1"/>
  <c r="Y44" i="3"/>
  <c r="U44" i="3"/>
  <c r="R44" i="3"/>
  <c r="X44" i="3" s="1"/>
  <c r="Y81" i="3"/>
  <c r="U81" i="3"/>
  <c r="R81" i="3"/>
  <c r="X81" i="3" s="1"/>
  <c r="Y119" i="3"/>
  <c r="U119" i="3"/>
  <c r="R119" i="3"/>
  <c r="X119" i="3" s="1"/>
  <c r="AA119" i="3" s="1"/>
  <c r="AB119" i="3" s="1"/>
  <c r="AC119" i="3" s="1"/>
  <c r="Y301" i="3"/>
  <c r="U301" i="3"/>
  <c r="R301" i="3"/>
  <c r="X301" i="3" s="1"/>
  <c r="Y203" i="3"/>
  <c r="U203" i="3"/>
  <c r="R203" i="3"/>
  <c r="X203" i="3" s="1"/>
  <c r="Y110" i="3"/>
  <c r="U110" i="3"/>
  <c r="R110" i="3"/>
  <c r="X110" i="3" s="1"/>
  <c r="Y29" i="3"/>
  <c r="U29" i="3"/>
  <c r="R29" i="3"/>
  <c r="X29" i="3" s="1"/>
  <c r="Y232" i="3"/>
  <c r="U232" i="3"/>
  <c r="R232" i="3"/>
  <c r="X232" i="3" s="1"/>
  <c r="Y124" i="3"/>
  <c r="U124" i="3"/>
  <c r="R124" i="3"/>
  <c r="X124" i="3" s="1"/>
  <c r="Y248" i="3"/>
  <c r="U248" i="3"/>
  <c r="R248" i="3"/>
  <c r="X248" i="3" s="1"/>
  <c r="Y281" i="3"/>
  <c r="U281" i="3"/>
  <c r="R281" i="3"/>
  <c r="X281" i="3" s="1"/>
  <c r="Y46" i="3"/>
  <c r="U46" i="3"/>
  <c r="R46" i="3"/>
  <c r="X46" i="3" s="1"/>
  <c r="Y91" i="3"/>
  <c r="U91" i="3"/>
  <c r="R91" i="3"/>
  <c r="X91" i="3" s="1"/>
  <c r="Y222" i="3"/>
  <c r="U222" i="3"/>
  <c r="R222" i="3"/>
  <c r="X222" i="3" s="1"/>
  <c r="Y224" i="3"/>
  <c r="U224" i="3"/>
  <c r="R224" i="3"/>
  <c r="X224" i="3" s="1"/>
  <c r="Y103" i="3"/>
  <c r="U103" i="3"/>
  <c r="R103" i="3"/>
  <c r="X103" i="3" s="1"/>
  <c r="Y108" i="3"/>
  <c r="U108" i="3"/>
  <c r="R108" i="3"/>
  <c r="X108" i="3" s="1"/>
  <c r="Y74" i="3"/>
  <c r="U74" i="3"/>
  <c r="R74" i="3"/>
  <c r="X74" i="3" s="1"/>
  <c r="Y115" i="3"/>
  <c r="U115" i="3"/>
  <c r="R115" i="3"/>
  <c r="X115" i="3" s="1"/>
  <c r="Y28" i="3"/>
  <c r="U28" i="3"/>
  <c r="R28" i="3"/>
  <c r="X28" i="3" s="1"/>
  <c r="Y117" i="3"/>
  <c r="U117" i="3"/>
  <c r="R117" i="3"/>
  <c r="X117" i="3" s="1"/>
  <c r="Y272" i="3"/>
  <c r="U272" i="3"/>
  <c r="R272" i="3"/>
  <c r="X272" i="3" s="1"/>
  <c r="Y109" i="3"/>
  <c r="U109" i="3"/>
  <c r="R109" i="3"/>
  <c r="X109" i="3" s="1"/>
  <c r="Y194" i="3"/>
  <c r="U194" i="3"/>
  <c r="R194" i="3"/>
  <c r="X194" i="3" s="1"/>
  <c r="Y162" i="3"/>
  <c r="U162" i="3"/>
  <c r="R162" i="3"/>
  <c r="X162" i="3" s="1"/>
  <c r="Y15" i="3"/>
  <c r="U15" i="3"/>
  <c r="R15" i="3"/>
  <c r="X15" i="3" s="1"/>
  <c r="Y49" i="3"/>
  <c r="U49" i="3"/>
  <c r="R49" i="3"/>
  <c r="X49" i="3" s="1"/>
  <c r="Y182" i="3"/>
  <c r="U182" i="3"/>
  <c r="R182" i="3"/>
  <c r="X182" i="3" s="1"/>
  <c r="Y161" i="3"/>
  <c r="U161" i="3"/>
  <c r="R161" i="3"/>
  <c r="X161" i="3" s="1"/>
  <c r="Y120" i="3"/>
  <c r="U120" i="3"/>
  <c r="R120" i="3"/>
  <c r="X120" i="3" s="1"/>
  <c r="Y39" i="3"/>
  <c r="U39" i="3"/>
  <c r="R39" i="3"/>
  <c r="X39" i="3" s="1"/>
  <c r="Y123" i="3"/>
  <c r="U123" i="3"/>
  <c r="R123" i="3"/>
  <c r="X123" i="3" s="1"/>
  <c r="Y275" i="3"/>
  <c r="U275" i="3"/>
  <c r="R275" i="3"/>
  <c r="X275" i="3" s="1"/>
  <c r="Y17" i="3"/>
  <c r="X17" i="3"/>
  <c r="AA17" i="3" s="1"/>
  <c r="AB17" i="3" s="1"/>
  <c r="AC17" i="3" s="1"/>
  <c r="U17" i="3"/>
  <c r="Y42" i="3"/>
  <c r="U42" i="3"/>
  <c r="R42" i="3"/>
  <c r="X42" i="3" s="1"/>
  <c r="Y312" i="3"/>
  <c r="U312" i="3"/>
  <c r="R312" i="3"/>
  <c r="X312" i="3" s="1"/>
  <c r="Z312" i="3" s="1"/>
  <c r="Y100" i="3"/>
  <c r="U100" i="3"/>
  <c r="R100" i="3"/>
  <c r="X100" i="3" s="1"/>
  <c r="Z100" i="3" s="1"/>
  <c r="Y34" i="3"/>
  <c r="U34" i="3"/>
  <c r="R34" i="3"/>
  <c r="X34" i="3" s="1"/>
  <c r="Y236" i="3"/>
  <c r="U236" i="3"/>
  <c r="R236" i="3"/>
  <c r="X236" i="3" s="1"/>
  <c r="Z236" i="3" s="1"/>
  <c r="Y300" i="3"/>
  <c r="U300" i="3"/>
  <c r="R300" i="3"/>
  <c r="X300" i="3" s="1"/>
  <c r="Y25" i="3"/>
  <c r="U25" i="3"/>
  <c r="R25" i="3"/>
  <c r="X25" i="3" s="1"/>
  <c r="Y121" i="3"/>
  <c r="U121" i="3"/>
  <c r="R121" i="3"/>
  <c r="X121" i="3" s="1"/>
  <c r="Z121" i="3" s="1"/>
  <c r="Y299" i="3"/>
  <c r="U299" i="3"/>
  <c r="R299" i="3"/>
  <c r="X299" i="3" s="1"/>
  <c r="Y23" i="3"/>
  <c r="U23" i="3"/>
  <c r="R23" i="3"/>
  <c r="X23" i="3" s="1"/>
  <c r="Z23" i="3" s="1"/>
  <c r="Y106" i="3"/>
  <c r="U106" i="3"/>
  <c r="R106" i="3"/>
  <c r="X106" i="3" s="1"/>
  <c r="Y141" i="3"/>
  <c r="U141" i="3"/>
  <c r="R141" i="3"/>
  <c r="X141" i="3" s="1"/>
  <c r="Z141" i="3" s="1"/>
  <c r="Y125" i="3"/>
  <c r="U125" i="3"/>
  <c r="R125" i="3"/>
  <c r="X125" i="3" s="1"/>
  <c r="Y176" i="3"/>
  <c r="U176" i="3"/>
  <c r="R176" i="3"/>
  <c r="X176" i="3" s="1"/>
  <c r="Y306" i="3"/>
  <c r="U306" i="3"/>
  <c r="R306" i="3"/>
  <c r="X306" i="3" s="1"/>
  <c r="Z306" i="3" s="1"/>
  <c r="Y270" i="3"/>
  <c r="U270" i="3"/>
  <c r="R270" i="3"/>
  <c r="X270" i="3" s="1"/>
  <c r="Z270" i="3" s="1"/>
  <c r="Y11" i="3"/>
  <c r="U11" i="3"/>
  <c r="R11" i="3"/>
  <c r="X11" i="3" s="1"/>
  <c r="Z11" i="3" s="1"/>
  <c r="Y36" i="3"/>
  <c r="U36" i="3"/>
  <c r="R36" i="3"/>
  <c r="X36" i="3" s="1"/>
  <c r="Z36" i="3" s="1"/>
  <c r="Y24" i="3"/>
  <c r="U24" i="3"/>
  <c r="R24" i="3"/>
  <c r="X24" i="3" s="1"/>
  <c r="Y199" i="3"/>
  <c r="U199" i="3"/>
  <c r="R199" i="3"/>
  <c r="X199" i="3" s="1"/>
  <c r="Z199" i="3" s="1"/>
  <c r="Y51" i="3"/>
  <c r="U51" i="3"/>
  <c r="R51" i="3"/>
  <c r="X51" i="3" s="1"/>
  <c r="Z51" i="3" s="1"/>
  <c r="Y254" i="3"/>
  <c r="U254" i="3"/>
  <c r="R254" i="3"/>
  <c r="X254" i="3" s="1"/>
  <c r="Y156" i="3"/>
  <c r="U156" i="3"/>
  <c r="R156" i="3"/>
  <c r="X156" i="3" s="1"/>
  <c r="Z156" i="3" s="1"/>
  <c r="Y202" i="3"/>
  <c r="U202" i="3"/>
  <c r="R202" i="3"/>
  <c r="X202" i="3" s="1"/>
  <c r="Z202" i="3" s="1"/>
  <c r="Y72" i="3"/>
  <c r="U72" i="3"/>
  <c r="R72" i="3"/>
  <c r="X72" i="3" s="1"/>
  <c r="Z72" i="3" s="1"/>
  <c r="Y6" i="3"/>
  <c r="U6" i="3"/>
  <c r="R6" i="3"/>
  <c r="X6" i="3" s="1"/>
  <c r="Z6" i="3" s="1"/>
  <c r="Y245" i="3"/>
  <c r="U245" i="3"/>
  <c r="R245" i="3"/>
  <c r="X245" i="3" s="1"/>
  <c r="Y226" i="3"/>
  <c r="U226" i="3"/>
  <c r="R226" i="3"/>
  <c r="X226" i="3" s="1"/>
  <c r="Z226" i="3" s="1"/>
  <c r="Y50" i="3"/>
  <c r="U50" i="3"/>
  <c r="R50" i="3"/>
  <c r="X50" i="3" s="1"/>
  <c r="Z50" i="3" s="1"/>
  <c r="Y216" i="3"/>
  <c r="U216" i="3"/>
  <c r="R216" i="3"/>
  <c r="X216" i="3" s="1"/>
  <c r="Y57" i="3"/>
  <c r="U57" i="3"/>
  <c r="R57" i="3"/>
  <c r="X57" i="3" s="1"/>
  <c r="Z57" i="3" s="1"/>
  <c r="Y221" i="3"/>
  <c r="U221" i="3"/>
  <c r="R221" i="3"/>
  <c r="X221" i="3" s="1"/>
  <c r="Z221" i="3" s="1"/>
  <c r="Y215" i="3"/>
  <c r="U215" i="3"/>
  <c r="R215" i="3"/>
  <c r="X215" i="3" s="1"/>
  <c r="Z215" i="3" s="1"/>
  <c r="Y53" i="3"/>
  <c r="U53" i="3"/>
  <c r="R53" i="3"/>
  <c r="X53" i="3" s="1"/>
  <c r="Z53" i="3" s="1"/>
  <c r="Y235" i="3"/>
  <c r="U235" i="3"/>
  <c r="R235" i="3"/>
  <c r="X235" i="3" s="1"/>
  <c r="Y246" i="3"/>
  <c r="U246" i="3"/>
  <c r="R246" i="3"/>
  <c r="X246" i="3" s="1"/>
  <c r="Z246" i="3" s="1"/>
  <c r="Y280" i="3"/>
  <c r="U280" i="3"/>
  <c r="R280" i="3"/>
  <c r="X280" i="3" s="1"/>
  <c r="Z280" i="3" s="1"/>
  <c r="Y69" i="3"/>
  <c r="U69" i="3"/>
  <c r="R69" i="3"/>
  <c r="X69" i="3" s="1"/>
  <c r="Y262" i="3"/>
  <c r="U262" i="3"/>
  <c r="R262" i="3"/>
  <c r="X262" i="3" s="1"/>
  <c r="AA262" i="3" s="1"/>
  <c r="AB262" i="3" s="1"/>
  <c r="AC262" i="3" s="1"/>
  <c r="Y287" i="3"/>
  <c r="U287" i="3"/>
  <c r="R287" i="3"/>
  <c r="X287" i="3" s="1"/>
  <c r="AA287" i="3" s="1"/>
  <c r="AB287" i="3" s="1"/>
  <c r="AC287" i="3" s="1"/>
  <c r="Y14" i="3"/>
  <c r="U14" i="3"/>
  <c r="R14" i="3"/>
  <c r="X14" i="3" s="1"/>
  <c r="Y64" i="3"/>
  <c r="U64" i="3"/>
  <c r="R64" i="3"/>
  <c r="X64" i="3" s="1"/>
  <c r="AA64" i="3" s="1"/>
  <c r="AB64" i="3" s="1"/>
  <c r="AC64" i="3" s="1"/>
  <c r="Y114" i="3"/>
  <c r="U114" i="3"/>
  <c r="R114" i="3"/>
  <c r="X114" i="3" s="1"/>
  <c r="AA114" i="3" s="1"/>
  <c r="AB114" i="3" s="1"/>
  <c r="AC114" i="3" s="1"/>
  <c r="Y113" i="3"/>
  <c r="U113" i="3"/>
  <c r="R113" i="3"/>
  <c r="X113" i="3" s="1"/>
  <c r="Z113" i="3" s="1"/>
  <c r="Y256" i="3"/>
  <c r="U256" i="3"/>
  <c r="R256" i="3"/>
  <c r="X256" i="3" s="1"/>
  <c r="Y218" i="3"/>
  <c r="U218" i="3"/>
  <c r="R218" i="3"/>
  <c r="X218" i="3" s="1"/>
  <c r="AA218" i="3" s="1"/>
  <c r="AB218" i="3" s="1"/>
  <c r="AC218" i="3" s="1"/>
  <c r="Y118" i="3"/>
  <c r="U118" i="3"/>
  <c r="R118" i="3"/>
  <c r="X118" i="3" s="1"/>
  <c r="AA118" i="3" s="1"/>
  <c r="AB118" i="3" s="1"/>
  <c r="AC118" i="3" s="1"/>
  <c r="Y173" i="3"/>
  <c r="X173" i="3"/>
  <c r="U173" i="3"/>
  <c r="Y96" i="3"/>
  <c r="U96" i="3"/>
  <c r="R96" i="3"/>
  <c r="X96" i="3" s="1"/>
  <c r="Z96" i="3" s="1"/>
  <c r="Y200" i="3"/>
  <c r="U200" i="3"/>
  <c r="R200" i="3"/>
  <c r="X200" i="3" s="1"/>
  <c r="Y240" i="3"/>
  <c r="U240" i="3"/>
  <c r="R240" i="3"/>
  <c r="X240" i="3" s="1"/>
  <c r="Y237" i="3"/>
  <c r="U237" i="3"/>
  <c r="R237" i="3"/>
  <c r="X237" i="3" s="1"/>
  <c r="Y249" i="3"/>
  <c r="U249" i="3"/>
  <c r="R249" i="3"/>
  <c r="X249" i="3" s="1"/>
  <c r="Y261" i="3"/>
  <c r="U261" i="3"/>
  <c r="R261" i="3"/>
  <c r="X261" i="3" s="1"/>
  <c r="Y290" i="3"/>
  <c r="U290" i="3"/>
  <c r="R290" i="3"/>
  <c r="X290" i="3" s="1"/>
  <c r="Y60" i="3"/>
  <c r="X60" i="3"/>
  <c r="U60" i="3"/>
  <c r="Y12" i="3"/>
  <c r="U12" i="3"/>
  <c r="R12" i="3"/>
  <c r="X12" i="3" s="1"/>
  <c r="Q297" i="3"/>
  <c r="R297" i="3" s="1"/>
  <c r="V297" i="3" s="1"/>
  <c r="O297" i="3"/>
  <c r="U297" i="3" s="1"/>
  <c r="Y238" i="3"/>
  <c r="U238" i="3"/>
  <c r="R238" i="3"/>
  <c r="X238" i="3" s="1"/>
  <c r="Y35" i="3"/>
  <c r="U35" i="3"/>
  <c r="R35" i="3"/>
  <c r="X35" i="3" s="1"/>
  <c r="R84" i="3"/>
  <c r="X84" i="3" s="1"/>
  <c r="AA84" i="3" s="1"/>
  <c r="O84" i="3"/>
  <c r="Y84" i="3" s="1"/>
  <c r="Y265" i="3"/>
  <c r="U265" i="3"/>
  <c r="R265" i="3"/>
  <c r="X265" i="3" s="1"/>
  <c r="Z265" i="3" s="1"/>
  <c r="R142" i="3"/>
  <c r="X142" i="3" s="1"/>
  <c r="O142" i="3"/>
  <c r="Y142" i="3" s="1"/>
  <c r="Y169" i="3"/>
  <c r="U169" i="3"/>
  <c r="R169" i="3"/>
  <c r="X169" i="3" s="1"/>
  <c r="AA169" i="3" s="1"/>
  <c r="AB169" i="3" s="1"/>
  <c r="AC169" i="3" s="1"/>
  <c r="Y295" i="3"/>
  <c r="T295" i="3"/>
  <c r="U295" i="3" s="1"/>
  <c r="R295" i="3"/>
  <c r="X295" i="3" s="1"/>
  <c r="Y310" i="3"/>
  <c r="U310" i="3"/>
  <c r="R310" i="3"/>
  <c r="X310" i="3" s="1"/>
  <c r="Z310" i="3" s="1"/>
  <c r="Y93" i="3"/>
  <c r="U93" i="3"/>
  <c r="R93" i="3"/>
  <c r="X93" i="3" s="1"/>
  <c r="AA93" i="3" s="1"/>
  <c r="AB93" i="3" s="1"/>
  <c r="AC93" i="3" s="1"/>
  <c r="R122" i="3"/>
  <c r="V122" i="3" s="1"/>
  <c r="X122" i="3" s="1"/>
  <c r="AA122" i="3" s="1"/>
  <c r="O122" i="3"/>
  <c r="U122" i="3" s="1"/>
  <c r="Y303" i="3"/>
  <c r="U303" i="3"/>
  <c r="R303" i="3"/>
  <c r="X303" i="3" s="1"/>
  <c r="Z303" i="3" s="1"/>
  <c r="Y126" i="3"/>
  <c r="U126" i="3"/>
  <c r="R126" i="3"/>
  <c r="X126" i="3" s="1"/>
  <c r="U177" i="3"/>
  <c r="R177" i="3"/>
  <c r="V177" i="3" s="1"/>
  <c r="Y56" i="3"/>
  <c r="U56" i="3"/>
  <c r="R56" i="3"/>
  <c r="X56" i="3" s="1"/>
  <c r="Y163" i="3"/>
  <c r="U163" i="3"/>
  <c r="R163" i="3"/>
  <c r="X163" i="3" s="1"/>
  <c r="Y127" i="3"/>
  <c r="U127" i="3"/>
  <c r="R127" i="3"/>
  <c r="X127" i="3" s="1"/>
  <c r="Y252" i="3"/>
  <c r="X252" i="3"/>
  <c r="U252" i="3"/>
  <c r="Y175" i="3"/>
  <c r="U175" i="3"/>
  <c r="R175" i="3"/>
  <c r="X175" i="3" s="1"/>
  <c r="Y267" i="3"/>
  <c r="X267" i="3"/>
  <c r="Z267" i="3" s="1"/>
  <c r="U267" i="3"/>
  <c r="U165" i="3"/>
  <c r="Y4" i="3"/>
  <c r="U4" i="3"/>
  <c r="R4" i="3"/>
  <c r="X4" i="3" s="1"/>
  <c r="Y302" i="3"/>
  <c r="U302" i="3"/>
  <c r="R302" i="3"/>
  <c r="X302" i="3" s="1"/>
  <c r="AA302" i="3" s="1"/>
  <c r="AB302" i="3" s="1"/>
  <c r="AC302" i="3" s="1"/>
  <c r="Y54" i="3"/>
  <c r="X54" i="3"/>
  <c r="AA54" i="3" s="1"/>
  <c r="AB54" i="3" s="1"/>
  <c r="AC54" i="3" s="1"/>
  <c r="U54" i="3"/>
  <c r="Y90" i="3"/>
  <c r="U90" i="3"/>
  <c r="R90" i="3"/>
  <c r="X90" i="3" s="1"/>
  <c r="AA90" i="3" s="1"/>
  <c r="AB90" i="3" s="1"/>
  <c r="AC90" i="3" s="1"/>
  <c r="Y164" i="3"/>
  <c r="U164" i="3"/>
  <c r="R164" i="3"/>
  <c r="X164" i="3" s="1"/>
  <c r="AA164" i="3" s="1"/>
  <c r="AB164" i="3" s="1"/>
  <c r="AC164" i="3" s="1"/>
  <c r="Y71" i="3"/>
  <c r="U71" i="3"/>
  <c r="R71" i="3"/>
  <c r="X71" i="3" s="1"/>
  <c r="AA71" i="3" s="1"/>
  <c r="AB71" i="3" s="1"/>
  <c r="AC71" i="3" s="1"/>
  <c r="Y244" i="3"/>
  <c r="U244" i="3"/>
  <c r="R244" i="3"/>
  <c r="X244" i="3" s="1"/>
  <c r="Z244" i="3" s="1"/>
  <c r="Y269" i="3"/>
  <c r="U269" i="3"/>
  <c r="R269" i="3"/>
  <c r="X269" i="3" s="1"/>
  <c r="Y180" i="3"/>
  <c r="X180" i="3"/>
  <c r="AA180" i="3" s="1"/>
  <c r="AB180" i="3" s="1"/>
  <c r="AC180" i="3" s="1"/>
  <c r="U180" i="3"/>
  <c r="AA253" i="3"/>
  <c r="AB253" i="3" s="1"/>
  <c r="AC253" i="3" s="1"/>
  <c r="Y315" i="3"/>
  <c r="X315" i="3"/>
  <c r="Z315" i="3" s="1"/>
  <c r="U315" i="3"/>
  <c r="Y259" i="3"/>
  <c r="X259" i="3"/>
  <c r="AA259" i="3" s="1"/>
  <c r="AB259" i="3" s="1"/>
  <c r="AC259" i="3" s="1"/>
  <c r="U259" i="3"/>
  <c r="Y251" i="3"/>
  <c r="X251" i="3"/>
  <c r="Z251" i="3" s="1"/>
  <c r="U251" i="3"/>
  <c r="Y5" i="3"/>
  <c r="X5" i="3"/>
  <c r="AA5" i="3" s="1"/>
  <c r="AB5" i="3" s="1"/>
  <c r="U5" i="3"/>
  <c r="Y263" i="3"/>
  <c r="X263" i="3"/>
  <c r="AA263" i="3" s="1"/>
  <c r="AB263" i="3" s="1"/>
  <c r="AC263" i="3" s="1"/>
  <c r="U263" i="3"/>
  <c r="R263" i="3"/>
  <c r="Y274" i="3"/>
  <c r="X274" i="3"/>
  <c r="AA274" i="3" s="1"/>
  <c r="AB274" i="3" s="1"/>
  <c r="AC274" i="3" s="1"/>
  <c r="U274" i="3"/>
  <c r="Y61" i="3"/>
  <c r="U61" i="3"/>
  <c r="R61" i="3"/>
  <c r="X61" i="3" s="1"/>
  <c r="Z61" i="3" s="1"/>
  <c r="Y70" i="3"/>
  <c r="U70" i="3"/>
  <c r="R70" i="3"/>
  <c r="X70" i="3" s="1"/>
  <c r="Z70" i="3" s="1"/>
  <c r="Y219" i="3"/>
  <c r="X219" i="3"/>
  <c r="Z219" i="3" s="1"/>
  <c r="U219" i="3"/>
  <c r="R219" i="3"/>
  <c r="Y311" i="3"/>
  <c r="U311" i="3"/>
  <c r="R311" i="3"/>
  <c r="X311" i="3" s="1"/>
  <c r="Z311" i="3" s="1"/>
  <c r="Y192" i="3"/>
  <c r="X192" i="3"/>
  <c r="U192" i="3"/>
  <c r="Y179" i="3"/>
  <c r="U179" i="3"/>
  <c r="R179" i="3"/>
  <c r="X179" i="3" s="1"/>
  <c r="AA179" i="3" s="1"/>
  <c r="AB179" i="3" s="1"/>
  <c r="AC179" i="3" s="1"/>
  <c r="Y65" i="3"/>
  <c r="U65" i="3"/>
  <c r="R65" i="3"/>
  <c r="X65" i="3" s="1"/>
  <c r="Y80" i="3"/>
  <c r="X80" i="3"/>
  <c r="Z80" i="3" s="1"/>
  <c r="U80" i="3"/>
  <c r="Y250" i="3"/>
  <c r="U250" i="3"/>
  <c r="R250" i="3"/>
  <c r="X250" i="3" s="1"/>
  <c r="Y296" i="3"/>
  <c r="U296" i="3"/>
  <c r="R296" i="3"/>
  <c r="X296" i="3" s="1"/>
  <c r="AA296" i="3" s="1"/>
  <c r="AB296" i="3" s="1"/>
  <c r="AC296" i="3" s="1"/>
  <c r="Y157" i="3"/>
  <c r="U157" i="3"/>
  <c r="R157" i="3"/>
  <c r="X157" i="3" s="1"/>
  <c r="AA157" i="3" s="1"/>
  <c r="AB157" i="3" s="1"/>
  <c r="AC157" i="3" s="1"/>
  <c r="Y307" i="3"/>
  <c r="U307" i="3"/>
  <c r="R307" i="3"/>
  <c r="X307" i="3" s="1"/>
  <c r="AA307" i="3" s="1"/>
  <c r="AB307" i="3" s="1"/>
  <c r="AC307" i="3" s="1"/>
  <c r="Y283" i="3"/>
  <c r="U283" i="3"/>
  <c r="R283" i="3"/>
  <c r="X283" i="3" s="1"/>
  <c r="AA283" i="3" s="1"/>
  <c r="AB283" i="3" s="1"/>
  <c r="AC283" i="3" s="1"/>
  <c r="Y75" i="3"/>
  <c r="U75" i="3"/>
  <c r="R75" i="3"/>
  <c r="X75" i="3" s="1"/>
  <c r="AA75" i="3" s="1"/>
  <c r="AB75" i="3" s="1"/>
  <c r="AC75" i="3" s="1"/>
  <c r="Y288" i="3"/>
  <c r="U288" i="3"/>
  <c r="R288" i="3"/>
  <c r="X288" i="3" s="1"/>
  <c r="AA288" i="3" s="1"/>
  <c r="AB288" i="3" s="1"/>
  <c r="AC288" i="3" s="1"/>
  <c r="Y89" i="3"/>
  <c r="U89" i="3"/>
  <c r="R89" i="3"/>
  <c r="X89" i="3" s="1"/>
  <c r="AA89" i="3" s="1"/>
  <c r="AB89" i="3" s="1"/>
  <c r="AC89" i="3" s="1"/>
  <c r="Y190" i="3"/>
  <c r="U190" i="3"/>
  <c r="R190" i="3"/>
  <c r="X190" i="3" s="1"/>
  <c r="AA190" i="3" s="1"/>
  <c r="AB190" i="3" s="1"/>
  <c r="AC190" i="3" s="1"/>
  <c r="Y43" i="3"/>
  <c r="U43" i="3"/>
  <c r="R43" i="3"/>
  <c r="X43" i="3" s="1"/>
  <c r="AA43" i="3" s="1"/>
  <c r="AB43" i="3" s="1"/>
  <c r="AC43" i="3" s="1"/>
  <c r="Y104" i="3"/>
  <c r="U104" i="3"/>
  <c r="R104" i="3"/>
  <c r="X104" i="3" s="1"/>
  <c r="AA104" i="3" s="1"/>
  <c r="AB104" i="3" s="1"/>
  <c r="AC104" i="3" s="1"/>
  <c r="Y47" i="3"/>
  <c r="U47" i="3"/>
  <c r="R47" i="3"/>
  <c r="X47" i="3" s="1"/>
  <c r="AA47" i="3" s="1"/>
  <c r="AB47" i="3" s="1"/>
  <c r="AC47" i="3" s="1"/>
  <c r="Y20" i="3"/>
  <c r="U20" i="3"/>
  <c r="R20" i="3"/>
  <c r="X20" i="3" s="1"/>
  <c r="AA20" i="3" s="1"/>
  <c r="AB20" i="3" s="1"/>
  <c r="AC20" i="3" s="1"/>
  <c r="Y45" i="3"/>
  <c r="U45" i="3"/>
  <c r="R45" i="3"/>
  <c r="X45" i="3" s="1"/>
  <c r="AA45" i="3" s="1"/>
  <c r="AB45" i="3" s="1"/>
  <c r="AC45" i="3" s="1"/>
  <c r="Y143" i="3"/>
  <c r="U143" i="3"/>
  <c r="R143" i="3"/>
  <c r="X143" i="3" s="1"/>
  <c r="AA143" i="3" s="1"/>
  <c r="AB143" i="3" s="1"/>
  <c r="AC143" i="3" s="1"/>
  <c r="Y188" i="3"/>
  <c r="U188" i="3"/>
  <c r="R188" i="3"/>
  <c r="X188" i="3" s="1"/>
  <c r="AA188" i="3" s="1"/>
  <c r="AB188" i="3" s="1"/>
  <c r="AC188" i="3" s="1"/>
  <c r="Y183" i="3"/>
  <c r="U183" i="3"/>
  <c r="R183" i="3"/>
  <c r="X183" i="3" s="1"/>
  <c r="AA183" i="3" s="1"/>
  <c r="AB183" i="3" s="1"/>
  <c r="AC183" i="3" s="1"/>
  <c r="Y214" i="3"/>
  <c r="U214" i="3"/>
  <c r="R214" i="3"/>
  <c r="X214" i="3" s="1"/>
  <c r="AA214" i="3" s="1"/>
  <c r="AB214" i="3" s="1"/>
  <c r="AC214" i="3" s="1"/>
  <c r="Y258" i="3"/>
  <c r="U258" i="3"/>
  <c r="R258" i="3"/>
  <c r="X258" i="3" s="1"/>
  <c r="AA258" i="3" s="1"/>
  <c r="AB258" i="3" s="1"/>
  <c r="AC258" i="3" s="1"/>
  <c r="Y40" i="3"/>
  <c r="U40" i="3"/>
  <c r="R40" i="3"/>
  <c r="X40" i="3" s="1"/>
  <c r="AA40" i="3" s="1"/>
  <c r="AB40" i="3" s="1"/>
  <c r="AC40" i="3" s="1"/>
  <c r="Y83" i="3"/>
  <c r="U83" i="3"/>
  <c r="R83" i="3"/>
  <c r="X83" i="3" s="1"/>
  <c r="AA83" i="3" s="1"/>
  <c r="AB83" i="3" s="1"/>
  <c r="AC83" i="3" s="1"/>
  <c r="Y309" i="3"/>
  <c r="U309" i="3"/>
  <c r="R309" i="3"/>
  <c r="X309" i="3" s="1"/>
  <c r="AA309" i="3" s="1"/>
  <c r="AB309" i="3" s="1"/>
  <c r="AC309" i="3" s="1"/>
  <c r="AA4" i="3" l="1"/>
  <c r="AB4" i="3" s="1"/>
  <c r="AC4" i="3" s="1"/>
  <c r="Y10" i="4"/>
  <c r="Z2" i="4"/>
  <c r="AA2" i="4" s="1"/>
  <c r="Z165" i="3"/>
  <c r="AA254" i="3"/>
  <c r="AB254" i="3" s="1"/>
  <c r="AC254" i="3" s="1"/>
  <c r="Z254" i="3"/>
  <c r="Z279" i="3"/>
  <c r="Z145" i="3"/>
  <c r="Z231" i="3"/>
  <c r="Z264" i="3"/>
  <c r="AA206" i="3"/>
  <c r="AB206" i="3" s="1"/>
  <c r="AC206" i="3" s="1"/>
  <c r="Z137" i="3"/>
  <c r="AA181" i="3"/>
  <c r="AB181" i="3" s="1"/>
  <c r="AC181" i="3" s="1"/>
  <c r="Z139" i="3"/>
  <c r="AA63" i="3"/>
  <c r="AB63" i="3" s="1"/>
  <c r="AC63" i="3" s="1"/>
  <c r="Z198" i="3"/>
  <c r="Z233" i="3"/>
  <c r="AA31" i="3"/>
  <c r="AB31" i="3" s="1"/>
  <c r="AC31" i="3" s="1"/>
  <c r="AA295" i="3"/>
  <c r="AB295" i="3" s="1"/>
  <c r="AC295" i="3" s="1"/>
  <c r="AA113" i="3"/>
  <c r="AB113" i="3" s="1"/>
  <c r="AC113" i="3" s="1"/>
  <c r="Z294" i="3"/>
  <c r="AA257" i="3"/>
  <c r="AB257" i="3" s="1"/>
  <c r="AC257" i="3" s="1"/>
  <c r="AA255" i="3"/>
  <c r="AA197" i="3"/>
  <c r="AB197" i="3" s="1"/>
  <c r="AC197" i="3" s="1"/>
  <c r="Z90" i="3"/>
  <c r="AA250" i="3"/>
  <c r="AB250" i="3" s="1"/>
  <c r="AC250" i="3" s="1"/>
  <c r="Z250" i="3"/>
  <c r="AA282" i="3"/>
  <c r="AB282" i="3" s="1"/>
  <c r="AC282" i="3" s="1"/>
  <c r="Z282" i="3"/>
  <c r="Z47" i="4"/>
  <c r="AA47" i="4" s="1"/>
  <c r="Y47" i="4"/>
  <c r="Y49" i="4"/>
  <c r="Z49" i="4"/>
  <c r="AA49" i="4" s="1"/>
  <c r="AB49" i="4" s="1"/>
  <c r="Y18" i="4"/>
  <c r="Z18" i="4"/>
  <c r="AA18" i="4" s="1"/>
  <c r="AB18" i="4" s="1"/>
  <c r="Y46" i="4"/>
  <c r="Z46" i="4"/>
  <c r="AA46" i="4" s="1"/>
  <c r="AB46" i="4" s="1"/>
  <c r="Y12" i="4"/>
  <c r="Z12" i="4"/>
  <c r="AA12" i="4" s="1"/>
  <c r="AB12" i="4" s="1"/>
  <c r="AA173" i="3"/>
  <c r="AB173" i="3" s="1"/>
  <c r="Z173" i="3"/>
  <c r="AA256" i="3"/>
  <c r="AB256" i="3" s="1"/>
  <c r="AC256" i="3" s="1"/>
  <c r="Z256" i="3"/>
  <c r="Z87" i="3"/>
  <c r="AA87" i="3"/>
  <c r="AB87" i="3" s="1"/>
  <c r="AC87" i="3" s="1"/>
  <c r="AA171" i="3"/>
  <c r="AB171" i="3" s="1"/>
  <c r="AC171" i="3" s="1"/>
  <c r="Z171" i="3"/>
  <c r="Z52" i="4"/>
  <c r="AA52" i="4" s="1"/>
  <c r="Y52" i="4"/>
  <c r="Y48" i="4"/>
  <c r="Z48" i="4"/>
  <c r="AA48" i="4" s="1"/>
  <c r="AB48" i="4" s="1"/>
  <c r="Y16" i="4"/>
  <c r="Z16" i="4"/>
  <c r="AA16" i="4" s="1"/>
  <c r="AB16" i="4" s="1"/>
  <c r="Z20" i="4"/>
  <c r="AA20" i="4" s="1"/>
  <c r="AB20" i="4" s="1"/>
  <c r="Y20" i="4"/>
  <c r="Z192" i="3"/>
  <c r="AA192" i="3"/>
  <c r="AB192" i="3" s="1"/>
  <c r="AC192" i="3" s="1"/>
  <c r="Z269" i="3"/>
  <c r="AA269" i="3"/>
  <c r="AB269" i="3" s="1"/>
  <c r="AC269" i="3" s="1"/>
  <c r="Z14" i="3"/>
  <c r="AA14" i="3"/>
  <c r="AB14" i="3" s="1"/>
  <c r="AC14" i="3" s="1"/>
  <c r="Z268" i="3"/>
  <c r="AA268" i="3"/>
  <c r="AB268" i="3" s="1"/>
  <c r="AC268" i="3" s="1"/>
  <c r="Z40" i="4"/>
  <c r="AA40" i="4" s="1"/>
  <c r="Y40" i="4"/>
  <c r="AB122" i="3"/>
  <c r="AC122" i="3" s="1"/>
  <c r="AB84" i="3"/>
  <c r="AC84" i="3" s="1"/>
  <c r="Z285" i="3"/>
  <c r="AA16" i="3"/>
  <c r="AB16" i="3" s="1"/>
  <c r="AC16" i="3" s="1"/>
  <c r="Z83" i="3"/>
  <c r="Z157" i="3"/>
  <c r="Z5" i="3"/>
  <c r="Z259" i="3"/>
  <c r="U142" i="3"/>
  <c r="U84" i="3"/>
  <c r="Z133" i="3"/>
  <c r="AA201" i="3"/>
  <c r="AB201" i="3" s="1"/>
  <c r="AC201" i="3" s="1"/>
  <c r="AA273" i="3"/>
  <c r="AB273" i="3" s="1"/>
  <c r="AC273" i="3" s="1"/>
  <c r="Z119" i="3"/>
  <c r="Z292" i="3"/>
  <c r="AA191" i="3"/>
  <c r="AB191" i="3" s="1"/>
  <c r="AC191" i="3" s="1"/>
  <c r="AA10" i="3"/>
  <c r="AB10" i="3" s="1"/>
  <c r="AC10" i="3" s="1"/>
  <c r="Z225" i="3"/>
  <c r="Z176" i="3"/>
  <c r="AA176" i="3"/>
  <c r="AB176" i="3" s="1"/>
  <c r="AC176" i="3" s="1"/>
  <c r="Z101" i="3"/>
  <c r="AA101" i="3"/>
  <c r="AB101" i="3" s="1"/>
  <c r="AC101" i="3" s="1"/>
  <c r="Z175" i="3"/>
  <c r="AA175" i="3"/>
  <c r="AB175" i="3" s="1"/>
  <c r="AC175" i="3" s="1"/>
  <c r="Z245" i="3"/>
  <c r="AA245" i="3"/>
  <c r="AB245" i="3" s="1"/>
  <c r="AC245" i="3" s="1"/>
  <c r="Z106" i="3"/>
  <c r="AA106" i="3"/>
  <c r="AB106" i="3" s="1"/>
  <c r="AC106" i="3" s="1"/>
  <c r="Z34" i="3"/>
  <c r="AA34" i="3"/>
  <c r="AB34" i="3" s="1"/>
  <c r="AC34" i="3" s="1"/>
  <c r="AA195" i="3"/>
  <c r="AB195" i="3" s="1"/>
  <c r="AC195" i="3" s="1"/>
  <c r="Z195" i="3"/>
  <c r="Z12" i="3"/>
  <c r="AA12" i="3"/>
  <c r="AB12" i="3" s="1"/>
  <c r="AC12" i="3" s="1"/>
  <c r="Z216" i="3"/>
  <c r="AA216" i="3"/>
  <c r="AB216" i="3" s="1"/>
  <c r="AC216" i="3" s="1"/>
  <c r="Z299" i="3"/>
  <c r="AA299" i="3"/>
  <c r="AB299" i="3" s="1"/>
  <c r="AC299" i="3" s="1"/>
  <c r="Z300" i="3"/>
  <c r="AA300" i="3"/>
  <c r="AB300" i="3" s="1"/>
  <c r="AC300" i="3" s="1"/>
  <c r="Z234" i="3"/>
  <c r="AA234" i="3"/>
  <c r="AB234" i="3" s="1"/>
  <c r="AC234" i="3" s="1"/>
  <c r="Z142" i="3"/>
  <c r="AA142" i="3"/>
  <c r="AB142" i="3" s="1"/>
  <c r="AC142" i="3" s="1"/>
  <c r="Z69" i="3"/>
  <c r="AA69" i="3"/>
  <c r="AB69" i="3" s="1"/>
  <c r="AC69" i="3" s="1"/>
  <c r="Z42" i="3"/>
  <c r="AA42" i="3"/>
  <c r="AB42" i="3" s="1"/>
  <c r="Z130" i="3"/>
  <c r="AA130" i="3"/>
  <c r="AB130" i="3" s="1"/>
  <c r="AC130" i="3" s="1"/>
  <c r="Z128" i="3"/>
  <c r="AA128" i="3"/>
  <c r="AB128" i="3" s="1"/>
  <c r="AC128" i="3" s="1"/>
  <c r="Z235" i="3"/>
  <c r="AA235" i="3"/>
  <c r="AB235" i="3" s="1"/>
  <c r="AC235" i="3" s="1"/>
  <c r="Z24" i="3"/>
  <c r="AA24" i="3"/>
  <c r="AB24" i="3" s="1"/>
  <c r="AC24" i="3" s="1"/>
  <c r="Z126" i="3"/>
  <c r="AA126" i="3"/>
  <c r="AB126" i="3" s="1"/>
  <c r="AC126" i="3" s="1"/>
  <c r="Z189" i="3"/>
  <c r="AA189" i="3"/>
  <c r="AB189" i="3" s="1"/>
  <c r="AC189" i="3" s="1"/>
  <c r="Z184" i="3"/>
  <c r="AA184" i="3"/>
  <c r="AB184" i="3" s="1"/>
  <c r="AC184" i="3" s="1"/>
  <c r="AA186" i="3"/>
  <c r="AB186" i="3" s="1"/>
  <c r="AC186" i="3" s="1"/>
  <c r="Z186" i="3"/>
  <c r="Z25" i="3"/>
  <c r="AA25" i="3"/>
  <c r="AB25" i="3" s="1"/>
  <c r="AC25" i="3" s="1"/>
  <c r="Z76" i="3"/>
  <c r="AA76" i="3"/>
  <c r="AB76" i="3" s="1"/>
  <c r="AC76" i="3" s="1"/>
  <c r="Z104" i="3"/>
  <c r="Z190" i="3"/>
  <c r="Z122" i="3"/>
  <c r="Z169" i="3"/>
  <c r="AA6" i="3"/>
  <c r="AB6" i="3" s="1"/>
  <c r="AC6" i="3" s="1"/>
  <c r="AA23" i="3"/>
  <c r="AB23" i="3" s="1"/>
  <c r="AC23" i="3" s="1"/>
  <c r="AA100" i="3"/>
  <c r="AB100" i="3" s="1"/>
  <c r="AC100" i="3" s="1"/>
  <c r="Z17" i="3"/>
  <c r="Z277" i="3"/>
  <c r="AA178" i="3"/>
  <c r="AB178" i="3" s="1"/>
  <c r="AC178" i="3" s="1"/>
  <c r="AA7" i="3"/>
  <c r="AB7" i="3" s="1"/>
  <c r="AC7" i="3" s="1"/>
  <c r="AA207" i="3"/>
  <c r="AB207" i="3" s="1"/>
  <c r="AC207" i="3" s="1"/>
  <c r="Z214" i="3"/>
  <c r="Z188" i="3"/>
  <c r="AA61" i="3"/>
  <c r="AB61" i="3" s="1"/>
  <c r="AC61" i="3" s="1"/>
  <c r="AA57" i="3"/>
  <c r="AB57" i="3" s="1"/>
  <c r="AC57" i="3" s="1"/>
  <c r="AA306" i="3"/>
  <c r="AB306" i="3" s="1"/>
  <c r="AC306" i="3" s="1"/>
  <c r="AA59" i="3"/>
  <c r="AB59" i="3" s="1"/>
  <c r="AC59" i="3" s="1"/>
  <c r="AA105" i="3"/>
  <c r="AB105" i="3" s="1"/>
  <c r="AC105" i="3" s="1"/>
  <c r="Z9" i="3"/>
  <c r="Z174" i="3"/>
  <c r="Z187" i="3"/>
  <c r="AA227" i="3"/>
  <c r="AB227" i="3" s="1"/>
  <c r="AC227" i="3" s="1"/>
  <c r="Z64" i="3"/>
  <c r="Z278" i="3"/>
  <c r="AA168" i="3"/>
  <c r="AB168" i="3" s="1"/>
  <c r="AC168" i="3" s="1"/>
  <c r="AA251" i="3"/>
  <c r="AB251" i="3" s="1"/>
  <c r="AC251" i="3" s="1"/>
  <c r="AA315" i="3"/>
  <c r="AB315" i="3" s="1"/>
  <c r="Z180" i="3"/>
  <c r="AA241" i="3"/>
  <c r="AB241" i="3" s="1"/>
  <c r="AC241" i="3" s="1"/>
  <c r="Z146" i="3"/>
  <c r="Z217" i="3"/>
  <c r="Z75" i="3"/>
  <c r="AA80" i="3"/>
  <c r="AB80" i="3" s="1"/>
  <c r="AC80" i="3" s="1"/>
  <c r="AA311" i="3"/>
  <c r="AB311" i="3" s="1"/>
  <c r="AC311" i="3" s="1"/>
  <c r="Z54" i="3"/>
  <c r="AA267" i="3"/>
  <c r="AB267" i="3" s="1"/>
  <c r="AC267" i="3" s="1"/>
  <c r="AA303" i="3"/>
  <c r="AB303" i="3" s="1"/>
  <c r="AC303" i="3" s="1"/>
  <c r="AA265" i="3"/>
  <c r="AB265" i="3" s="1"/>
  <c r="AC265" i="3" s="1"/>
  <c r="Z287" i="3"/>
  <c r="AA53" i="3"/>
  <c r="AB53" i="3" s="1"/>
  <c r="AC53" i="3" s="1"/>
  <c r="AA36" i="3"/>
  <c r="AB36" i="3" s="1"/>
  <c r="AC36" i="3" s="1"/>
  <c r="AA236" i="3"/>
  <c r="AB236" i="3" s="1"/>
  <c r="AC236" i="3" s="1"/>
  <c r="AA102" i="3"/>
  <c r="AB102" i="3" s="1"/>
  <c r="AC102" i="3" s="1"/>
  <c r="AA132" i="3"/>
  <c r="AB132" i="3" s="1"/>
  <c r="AC132" i="3" s="1"/>
  <c r="AA210" i="3"/>
  <c r="AB210" i="3" s="1"/>
  <c r="AC210" i="3" s="1"/>
  <c r="Z151" i="3"/>
  <c r="AA286" i="3"/>
  <c r="AB286" i="3" s="1"/>
  <c r="AC286" i="3" s="1"/>
  <c r="Z129" i="3"/>
  <c r="AA147" i="3"/>
  <c r="AB147" i="3" s="1"/>
  <c r="AC147" i="3" s="1"/>
  <c r="Z230" i="3"/>
  <c r="Z20" i="3"/>
  <c r="Z274" i="3"/>
  <c r="AA244" i="3"/>
  <c r="AB244" i="3" s="1"/>
  <c r="AC244" i="3" s="1"/>
  <c r="AA156" i="3"/>
  <c r="AB156" i="3" s="1"/>
  <c r="AC156" i="3" s="1"/>
  <c r="AA121" i="3"/>
  <c r="AB121" i="3" s="1"/>
  <c r="AC121" i="3" s="1"/>
  <c r="AA312" i="3"/>
  <c r="AB312" i="3" s="1"/>
  <c r="AC312" i="3" s="1"/>
  <c r="AA242" i="3"/>
  <c r="AB242" i="3" s="1"/>
  <c r="AC242" i="3" s="1"/>
  <c r="AA67" i="3"/>
  <c r="AB67" i="3" s="1"/>
  <c r="AC67" i="3" s="1"/>
  <c r="AA26" i="3"/>
  <c r="AB26" i="3" s="1"/>
  <c r="AC26" i="3" s="1"/>
  <c r="Z239" i="3"/>
  <c r="AA37" i="3"/>
  <c r="AB37" i="3" s="1"/>
  <c r="AC37" i="3" s="1"/>
  <c r="Z52" i="3"/>
  <c r="AA247" i="3"/>
  <c r="AB247" i="3" s="1"/>
  <c r="AC247" i="3" s="1"/>
  <c r="Z138" i="3"/>
  <c r="AA308" i="3"/>
  <c r="AB308" i="3" s="1"/>
  <c r="AC308" i="3" s="1"/>
  <c r="Z140" i="3"/>
  <c r="AA293" i="3"/>
  <c r="AB293" i="3" s="1"/>
  <c r="AC293" i="3" s="1"/>
  <c r="AA305" i="3"/>
  <c r="AB305" i="3" s="1"/>
  <c r="AC305" i="3" s="1"/>
  <c r="Z7" i="4"/>
  <c r="AA7" i="4" s="1"/>
  <c r="AB7" i="4" s="1"/>
  <c r="Y7" i="4"/>
  <c r="Y32" i="4"/>
  <c r="Z32" i="4"/>
  <c r="AA32" i="4" s="1"/>
  <c r="Z3" i="4"/>
  <c r="AA3" i="4" s="1"/>
  <c r="Y3" i="4"/>
  <c r="Z36" i="4"/>
  <c r="AA36" i="4" s="1"/>
  <c r="AB36" i="4" s="1"/>
  <c r="Y36" i="4"/>
  <c r="Z8" i="4"/>
  <c r="AA8" i="4" s="1"/>
  <c r="AB8" i="4" s="1"/>
  <c r="Y8" i="4"/>
  <c r="Y45" i="4"/>
  <c r="Z45" i="4"/>
  <c r="AA45" i="4" s="1"/>
  <c r="Z42" i="4"/>
  <c r="AA42" i="4" s="1"/>
  <c r="AB42" i="4" s="1"/>
  <c r="Y42" i="4"/>
  <c r="Z27" i="4"/>
  <c r="AA27" i="4" s="1"/>
  <c r="Y27" i="4"/>
  <c r="Z25" i="4"/>
  <c r="AA25" i="4" s="1"/>
  <c r="Y25" i="4"/>
  <c r="Z30" i="4"/>
  <c r="AA30" i="4" s="1"/>
  <c r="Y30" i="4"/>
  <c r="Y29" i="4"/>
  <c r="Z29" i="4"/>
  <c r="AA29" i="4" s="1"/>
  <c r="Z38" i="4"/>
  <c r="AA38" i="4" s="1"/>
  <c r="AB38" i="4" s="1"/>
  <c r="Y38" i="4"/>
  <c r="Z43" i="4"/>
  <c r="AA43" i="4" s="1"/>
  <c r="AB43" i="4" s="1"/>
  <c r="Y43" i="4"/>
  <c r="Z51" i="4"/>
  <c r="AA51" i="4" s="1"/>
  <c r="Y51" i="4"/>
  <c r="Z22" i="4"/>
  <c r="AA22" i="4" s="1"/>
  <c r="Y22" i="4"/>
  <c r="Z21" i="4"/>
  <c r="AA21" i="4" s="1"/>
  <c r="Y21" i="4"/>
  <c r="Z37" i="4"/>
  <c r="AA37" i="4" s="1"/>
  <c r="AB37" i="4" s="1"/>
  <c r="Y37" i="4"/>
  <c r="Z15" i="4"/>
  <c r="AA15" i="4" s="1"/>
  <c r="AB15" i="4" s="1"/>
  <c r="Y15" i="4"/>
  <c r="Z4" i="4"/>
  <c r="AA4" i="4" s="1"/>
  <c r="Y4" i="4"/>
  <c r="Z11" i="4"/>
  <c r="AA11" i="4" s="1"/>
  <c r="Y11" i="4"/>
  <c r="Y31" i="4"/>
  <c r="Z31" i="4"/>
  <c r="AA31" i="4" s="1"/>
  <c r="Z9" i="4"/>
  <c r="AA9" i="4" s="1"/>
  <c r="AB9" i="4" s="1"/>
  <c r="Y9" i="4"/>
  <c r="Z6" i="4"/>
  <c r="AA6" i="4" s="1"/>
  <c r="Y6" i="4"/>
  <c r="Z28" i="4"/>
  <c r="AA28" i="4" s="1"/>
  <c r="Y28" i="4"/>
  <c r="Z34" i="4"/>
  <c r="AA34" i="4" s="1"/>
  <c r="Y34" i="4"/>
  <c r="Z5" i="4"/>
  <c r="AA5" i="4" s="1"/>
  <c r="Y5" i="4"/>
  <c r="Z44" i="4"/>
  <c r="AA44" i="4" s="1"/>
  <c r="AB44" i="4" s="1"/>
  <c r="Y44" i="4"/>
  <c r="Y53" i="4"/>
  <c r="Y14" i="4"/>
  <c r="Y33" i="4"/>
  <c r="Y35" i="4"/>
  <c r="Y39" i="4"/>
  <c r="Y13" i="4"/>
  <c r="Y50" i="4"/>
  <c r="Y19" i="4"/>
  <c r="Y26" i="4"/>
  <c r="Y23" i="4"/>
  <c r="Y17" i="4"/>
  <c r="Y24" i="4"/>
  <c r="Y41" i="4"/>
  <c r="AA81" i="3"/>
  <c r="AB81" i="3" s="1"/>
  <c r="AC81" i="3" s="1"/>
  <c r="Z81" i="3"/>
  <c r="Y177" i="3"/>
  <c r="X177" i="3"/>
  <c r="AA240" i="3"/>
  <c r="AB240" i="3" s="1"/>
  <c r="AC240" i="3" s="1"/>
  <c r="Z240" i="3"/>
  <c r="AA163" i="3"/>
  <c r="AB163" i="3" s="1"/>
  <c r="AC163" i="3" s="1"/>
  <c r="Z163" i="3"/>
  <c r="AA35" i="3"/>
  <c r="AB35" i="3" s="1"/>
  <c r="AC35" i="3" s="1"/>
  <c r="Z35" i="3"/>
  <c r="Y297" i="3"/>
  <c r="X297" i="3"/>
  <c r="AA249" i="3"/>
  <c r="AB249" i="3" s="1"/>
  <c r="AC249" i="3" s="1"/>
  <c r="Z249" i="3"/>
  <c r="AA290" i="3"/>
  <c r="AB290" i="3" s="1"/>
  <c r="AC290" i="3" s="1"/>
  <c r="Z290" i="3"/>
  <c r="AA65" i="3"/>
  <c r="AB65" i="3" s="1"/>
  <c r="AC65" i="3" s="1"/>
  <c r="Z65" i="3"/>
  <c r="AA238" i="3"/>
  <c r="AB238" i="3" s="1"/>
  <c r="AC238" i="3" s="1"/>
  <c r="Z238" i="3"/>
  <c r="AA152" i="3"/>
  <c r="AB152" i="3" s="1"/>
  <c r="AC152" i="3" s="1"/>
  <c r="Z152" i="3"/>
  <c r="AA103" i="3"/>
  <c r="AB103" i="3" s="1"/>
  <c r="AC103" i="3" s="1"/>
  <c r="Z103" i="3"/>
  <c r="Z223" i="3"/>
  <c r="AA223" i="3"/>
  <c r="AB223" i="3" s="1"/>
  <c r="AC223" i="3" s="1"/>
  <c r="Z88" i="3"/>
  <c r="AA88" i="3"/>
  <c r="AB88" i="3" s="1"/>
  <c r="AC88" i="3" s="1"/>
  <c r="AA219" i="3"/>
  <c r="AB219" i="3" s="1"/>
  <c r="AC219" i="3" s="1"/>
  <c r="AA252" i="3"/>
  <c r="AB252" i="3" s="1"/>
  <c r="AC252" i="3" s="1"/>
  <c r="Z252" i="3"/>
  <c r="AA215" i="3"/>
  <c r="AB215" i="3" s="1"/>
  <c r="AC215" i="3" s="1"/>
  <c r="AA72" i="3"/>
  <c r="AB72" i="3" s="1"/>
  <c r="AC72" i="3" s="1"/>
  <c r="AA11" i="3"/>
  <c r="AB11" i="3" s="1"/>
  <c r="AC11" i="3" s="1"/>
  <c r="AA28" i="3"/>
  <c r="AB28" i="3" s="1"/>
  <c r="AC28" i="3" s="1"/>
  <c r="Z28" i="3"/>
  <c r="AA301" i="3"/>
  <c r="AB301" i="3" s="1"/>
  <c r="Z301" i="3"/>
  <c r="AA172" i="3"/>
  <c r="AB172" i="3" s="1"/>
  <c r="AC172" i="3" s="1"/>
  <c r="Z193" i="3"/>
  <c r="AA193" i="3"/>
  <c r="AB193" i="3" s="1"/>
  <c r="AC193" i="3" s="1"/>
  <c r="Z62" i="3"/>
  <c r="AA62" i="3"/>
  <c r="AB62" i="3" s="1"/>
  <c r="AC62" i="3" s="1"/>
  <c r="AA131" i="3"/>
  <c r="AB131" i="3" s="1"/>
  <c r="AC131" i="3" s="1"/>
  <c r="Z131" i="3"/>
  <c r="Z95" i="3"/>
  <c r="AA95" i="3"/>
  <c r="AB95" i="3" s="1"/>
  <c r="AC95" i="3" s="1"/>
  <c r="Z258" i="3"/>
  <c r="Z47" i="3"/>
  <c r="Z307" i="3"/>
  <c r="Z179" i="3"/>
  <c r="Z164" i="3"/>
  <c r="Z4" i="3"/>
  <c r="Z295" i="3"/>
  <c r="Z84" i="3"/>
  <c r="AA246" i="3"/>
  <c r="AB246" i="3" s="1"/>
  <c r="AC246" i="3" s="1"/>
  <c r="AA226" i="3"/>
  <c r="AB226" i="3" s="1"/>
  <c r="AC226" i="3" s="1"/>
  <c r="AA199" i="3"/>
  <c r="AB199" i="3" s="1"/>
  <c r="AC199" i="3" s="1"/>
  <c r="AA141" i="3"/>
  <c r="AB141" i="3" s="1"/>
  <c r="AC141" i="3" s="1"/>
  <c r="AA272" i="3"/>
  <c r="AB272" i="3" s="1"/>
  <c r="AC272" i="3" s="1"/>
  <c r="Z272" i="3"/>
  <c r="AA110" i="3"/>
  <c r="AB110" i="3" s="1"/>
  <c r="AC110" i="3" s="1"/>
  <c r="Z110" i="3"/>
  <c r="Z77" i="3"/>
  <c r="AA77" i="3"/>
  <c r="AB77" i="3" s="1"/>
  <c r="AC77" i="3" s="1"/>
  <c r="AA150" i="3"/>
  <c r="AB150" i="3" s="1"/>
  <c r="AC150" i="3" s="1"/>
  <c r="Z22" i="3"/>
  <c r="AA22" i="3"/>
  <c r="AB22" i="3" s="1"/>
  <c r="AC22" i="3" s="1"/>
  <c r="AA127" i="3"/>
  <c r="AB127" i="3" s="1"/>
  <c r="AC127" i="3" s="1"/>
  <c r="Z127" i="3"/>
  <c r="Z153" i="3"/>
  <c r="AA153" i="3"/>
  <c r="AB153" i="3" s="1"/>
  <c r="AC153" i="3" s="1"/>
  <c r="AA56" i="3"/>
  <c r="AB56" i="3" s="1"/>
  <c r="AC56" i="3" s="1"/>
  <c r="Z56" i="3"/>
  <c r="Z159" i="3"/>
  <c r="Z43" i="3"/>
  <c r="Z296" i="3"/>
  <c r="Z71" i="3"/>
  <c r="Z302" i="3"/>
  <c r="AA310" i="3"/>
  <c r="AB310" i="3" s="1"/>
  <c r="AC310" i="3" s="1"/>
  <c r="AA60" i="3"/>
  <c r="AB60" i="3" s="1"/>
  <c r="AC60" i="3" s="1"/>
  <c r="Z60" i="3"/>
  <c r="AA237" i="3"/>
  <c r="AB237" i="3" s="1"/>
  <c r="AC237" i="3" s="1"/>
  <c r="Z237" i="3"/>
  <c r="AA15" i="3"/>
  <c r="AB15" i="3" s="1"/>
  <c r="AC15" i="3" s="1"/>
  <c r="Z15" i="3"/>
  <c r="AA248" i="3"/>
  <c r="AB248" i="3" s="1"/>
  <c r="AC248" i="3" s="1"/>
  <c r="Z248" i="3"/>
  <c r="AA158" i="3"/>
  <c r="AB158" i="3" s="1"/>
  <c r="AC158" i="3" s="1"/>
  <c r="Z158" i="3"/>
  <c r="Z185" i="3"/>
  <c r="Z314" i="3"/>
  <c r="AA314" i="3"/>
  <c r="AB314" i="3" s="1"/>
  <c r="AC314" i="3" s="1"/>
  <c r="AA38" i="3"/>
  <c r="AB38" i="3" s="1"/>
  <c r="AC38" i="3" s="1"/>
  <c r="Z38" i="3"/>
  <c r="Z97" i="3"/>
  <c r="AA97" i="3"/>
  <c r="AB97" i="3" s="1"/>
  <c r="AC97" i="3" s="1"/>
  <c r="AA33" i="3"/>
  <c r="AB33" i="3" s="1"/>
  <c r="AC33" i="3" s="1"/>
  <c r="Z33" i="3"/>
  <c r="Z98" i="3"/>
  <c r="AA98" i="3"/>
  <c r="AB98" i="3" s="1"/>
  <c r="AC98" i="3" s="1"/>
  <c r="Z211" i="3"/>
  <c r="AA211" i="3"/>
  <c r="AB211" i="3" s="1"/>
  <c r="AC211" i="3" s="1"/>
  <c r="AA73" i="3"/>
  <c r="AB73" i="3" s="1"/>
  <c r="AC73" i="3" s="1"/>
  <c r="Z73" i="3"/>
  <c r="Z134" i="3"/>
  <c r="AA134" i="3"/>
  <c r="AB134" i="3" s="1"/>
  <c r="AC134" i="3" s="1"/>
  <c r="Z200" i="3"/>
  <c r="AA200" i="3"/>
  <c r="AB200" i="3" s="1"/>
  <c r="AC200" i="3" s="1"/>
  <c r="Z32" i="3"/>
  <c r="AA32" i="3"/>
  <c r="AB32" i="3" s="1"/>
  <c r="AC32" i="3" s="1"/>
  <c r="Z243" i="3"/>
  <c r="AA243" i="3"/>
  <c r="AB243" i="3" s="1"/>
  <c r="AC243" i="3" s="1"/>
  <c r="AA291" i="3"/>
  <c r="AB291" i="3" s="1"/>
  <c r="AC291" i="3" s="1"/>
  <c r="Z291" i="3"/>
  <c r="Z309" i="3"/>
  <c r="Z45" i="3"/>
  <c r="Z288" i="3"/>
  <c r="AA136" i="3"/>
  <c r="AB136" i="3" s="1"/>
  <c r="AC136" i="3" s="1"/>
  <c r="Z136" i="3"/>
  <c r="Z48" i="3"/>
  <c r="AA48" i="3"/>
  <c r="AB48" i="3" s="1"/>
  <c r="AC48" i="3" s="1"/>
  <c r="Z183" i="3"/>
  <c r="Z40" i="3"/>
  <c r="Z283" i="3"/>
  <c r="Z263" i="3"/>
  <c r="Z93" i="3"/>
  <c r="AA280" i="3"/>
  <c r="AB280" i="3" s="1"/>
  <c r="AC280" i="3" s="1"/>
  <c r="AA50" i="3"/>
  <c r="AB50" i="3" s="1"/>
  <c r="AC50" i="3" s="1"/>
  <c r="AA51" i="3"/>
  <c r="AB51" i="3" s="1"/>
  <c r="AC51" i="3" s="1"/>
  <c r="AA182" i="3"/>
  <c r="AB182" i="3" s="1"/>
  <c r="AC182" i="3" s="1"/>
  <c r="Z182" i="3"/>
  <c r="AA46" i="3"/>
  <c r="AB46" i="3" s="1"/>
  <c r="AC46" i="3" s="1"/>
  <c r="Z46" i="3"/>
  <c r="AA271" i="3"/>
  <c r="AB271" i="3" s="1"/>
  <c r="AC271" i="3" s="1"/>
  <c r="Z271" i="3"/>
  <c r="Z155" i="3"/>
  <c r="AA18" i="3"/>
  <c r="AB18" i="3" s="1"/>
  <c r="AC18" i="3" s="1"/>
  <c r="Z86" i="3"/>
  <c r="AA86" i="3"/>
  <c r="AB86" i="3" s="1"/>
  <c r="AC86" i="3" s="1"/>
  <c r="AA2" i="3"/>
  <c r="AB2" i="3" s="1"/>
  <c r="AC2" i="3" s="1"/>
  <c r="AA123" i="3"/>
  <c r="AB123" i="3" s="1"/>
  <c r="AC123" i="3" s="1"/>
  <c r="Z123" i="3"/>
  <c r="AA261" i="3"/>
  <c r="AB261" i="3" s="1"/>
  <c r="AC261" i="3" s="1"/>
  <c r="Z261" i="3"/>
  <c r="AA74" i="3"/>
  <c r="AB74" i="3" s="1"/>
  <c r="AC74" i="3" s="1"/>
  <c r="Z74" i="3"/>
  <c r="Z116" i="3"/>
  <c r="AA116" i="3"/>
  <c r="AB116" i="3" s="1"/>
  <c r="AC116" i="3" s="1"/>
  <c r="Z218" i="3"/>
  <c r="Z125" i="3"/>
  <c r="AA125" i="3"/>
  <c r="AB125" i="3" s="1"/>
  <c r="AC125" i="3" s="1"/>
  <c r="AA194" i="3"/>
  <c r="AB194" i="3" s="1"/>
  <c r="AC194" i="3" s="1"/>
  <c r="Z194" i="3"/>
  <c r="AA232" i="3"/>
  <c r="AB232" i="3" s="1"/>
  <c r="AC232" i="3" s="1"/>
  <c r="Z232" i="3"/>
  <c r="Z13" i="3"/>
  <c r="AA13" i="3"/>
  <c r="AB13" i="3" s="1"/>
  <c r="AC13" i="3" s="1"/>
  <c r="Z143" i="3"/>
  <c r="Z89" i="3"/>
  <c r="AA70" i="3"/>
  <c r="AB70" i="3" s="1"/>
  <c r="AC70" i="3" s="1"/>
  <c r="Y122" i="3"/>
  <c r="AA96" i="3"/>
  <c r="AB96" i="3" s="1"/>
  <c r="AA221" i="3"/>
  <c r="AB221" i="3" s="1"/>
  <c r="AC221" i="3" s="1"/>
  <c r="AA202" i="3"/>
  <c r="AB202" i="3" s="1"/>
  <c r="AC202" i="3" s="1"/>
  <c r="AA270" i="3"/>
  <c r="AB270" i="3" s="1"/>
  <c r="AC270" i="3" s="1"/>
  <c r="AA120" i="3"/>
  <c r="AB120" i="3" s="1"/>
  <c r="AC120" i="3" s="1"/>
  <c r="Z120" i="3"/>
  <c r="AA222" i="3"/>
  <c r="AB222" i="3" s="1"/>
  <c r="AC222" i="3" s="1"/>
  <c r="Z222" i="3"/>
  <c r="AA44" i="3"/>
  <c r="AB44" i="3" s="1"/>
  <c r="AC44" i="3" s="1"/>
  <c r="Z44" i="3"/>
  <c r="Z58" i="3"/>
  <c r="AA58" i="3"/>
  <c r="AB58" i="3" s="1"/>
  <c r="AC58" i="3" s="1"/>
  <c r="Z167" i="3"/>
  <c r="AA167" i="3"/>
  <c r="AB167" i="3" s="1"/>
  <c r="AC167" i="3" s="1"/>
  <c r="Z55" i="3"/>
  <c r="AA55" i="3"/>
  <c r="AB55" i="3" s="1"/>
  <c r="AC55" i="3" s="1"/>
  <c r="AA66" i="3"/>
  <c r="AB66" i="3" s="1"/>
  <c r="Z66" i="3"/>
  <c r="Z208" i="3"/>
  <c r="AA208" i="3"/>
  <c r="AB208" i="3" s="1"/>
  <c r="AC208" i="3" s="1"/>
  <c r="Z276" i="3"/>
  <c r="AA276" i="3"/>
  <c r="AB276" i="3" s="1"/>
  <c r="AC276" i="3" s="1"/>
  <c r="AA79" i="3"/>
  <c r="AB79" i="3" s="1"/>
  <c r="AC79" i="3" s="1"/>
  <c r="Z79" i="3"/>
  <c r="Z166" i="3"/>
  <c r="AA166" i="3"/>
  <c r="AB166" i="3" s="1"/>
  <c r="AC166" i="3" s="1"/>
  <c r="Z205" i="3"/>
  <c r="AA205" i="3"/>
  <c r="AB205" i="3" s="1"/>
  <c r="AC205" i="3" s="1"/>
  <c r="AA85" i="3"/>
  <c r="AB85" i="3" s="1"/>
  <c r="AC85" i="3" s="1"/>
  <c r="Z85" i="3"/>
  <c r="Z170" i="3"/>
  <c r="AA170" i="3"/>
  <c r="AA212" i="3"/>
  <c r="AB212" i="3" s="1"/>
  <c r="AC212" i="3" s="1"/>
  <c r="Z212" i="3"/>
  <c r="AA149" i="3"/>
  <c r="AB149" i="3" s="1"/>
  <c r="AC149" i="3" s="1"/>
  <c r="Z149" i="3"/>
  <c r="Z118" i="3"/>
  <c r="Z114" i="3"/>
  <c r="Z262" i="3"/>
  <c r="AA275" i="3"/>
  <c r="AB275" i="3" s="1"/>
  <c r="AC275" i="3" s="1"/>
  <c r="Z275" i="3"/>
  <c r="AA39" i="3"/>
  <c r="AB39" i="3" s="1"/>
  <c r="AC39" i="3" s="1"/>
  <c r="Z39" i="3"/>
  <c r="AA161" i="3"/>
  <c r="AB161" i="3" s="1"/>
  <c r="AC161" i="3" s="1"/>
  <c r="Z161" i="3"/>
  <c r="AA49" i="3"/>
  <c r="AB49" i="3" s="1"/>
  <c r="AC49" i="3" s="1"/>
  <c r="Z49" i="3"/>
  <c r="AA162" i="3"/>
  <c r="AB162" i="3" s="1"/>
  <c r="AC162" i="3" s="1"/>
  <c r="Z162" i="3"/>
  <c r="AA109" i="3"/>
  <c r="AB109" i="3" s="1"/>
  <c r="AC109" i="3" s="1"/>
  <c r="Z109" i="3"/>
  <c r="AA117" i="3"/>
  <c r="AB117" i="3" s="1"/>
  <c r="AC117" i="3" s="1"/>
  <c r="Z117" i="3"/>
  <c r="AA115" i="3"/>
  <c r="AB115" i="3" s="1"/>
  <c r="AC115" i="3" s="1"/>
  <c r="Z115" i="3"/>
  <c r="AA108" i="3"/>
  <c r="AB108" i="3" s="1"/>
  <c r="AC108" i="3" s="1"/>
  <c r="Z108" i="3"/>
  <c r="AA224" i="3"/>
  <c r="AB224" i="3" s="1"/>
  <c r="AC224" i="3" s="1"/>
  <c r="Z224" i="3"/>
  <c r="AA91" i="3"/>
  <c r="AB91" i="3" s="1"/>
  <c r="AC91" i="3" s="1"/>
  <c r="Z91" i="3"/>
  <c r="AA281" i="3"/>
  <c r="AB281" i="3" s="1"/>
  <c r="AC281" i="3" s="1"/>
  <c r="Z281" i="3"/>
  <c r="AA124" i="3"/>
  <c r="AB124" i="3" s="1"/>
  <c r="AC124" i="3" s="1"/>
  <c r="Z124" i="3"/>
  <c r="AA29" i="3"/>
  <c r="AB29" i="3" s="1"/>
  <c r="AC29" i="3" s="1"/>
  <c r="Z29" i="3"/>
  <c r="AA203" i="3"/>
  <c r="AB203" i="3" s="1"/>
  <c r="AC203" i="3" s="1"/>
  <c r="Z203" i="3"/>
  <c r="AA19" i="3"/>
  <c r="AB19" i="3" s="1"/>
  <c r="AC19" i="3" s="1"/>
  <c r="Z99" i="3"/>
  <c r="AA99" i="3"/>
  <c r="AB99" i="3" s="1"/>
  <c r="AC99" i="3" s="1"/>
  <c r="AA204" i="3"/>
  <c r="AB204" i="3" s="1"/>
  <c r="AC204" i="3" s="1"/>
  <c r="Z204" i="3"/>
  <c r="AA284" i="3"/>
  <c r="AB284" i="3" s="1"/>
  <c r="AC284" i="3" s="1"/>
  <c r="Z284" i="3"/>
  <c r="Z304" i="3"/>
  <c r="AA304" i="3"/>
  <c r="AB304" i="3" s="1"/>
  <c r="AC304" i="3" s="1"/>
  <c r="Z78" i="3"/>
  <c r="AA160" i="3"/>
  <c r="AB160" i="3" s="1"/>
  <c r="AC160" i="3" s="1"/>
  <c r="AA107" i="3"/>
  <c r="AB107" i="3" s="1"/>
  <c r="AC107" i="3" s="1"/>
  <c r="Z107" i="3"/>
  <c r="Z92" i="3"/>
  <c r="AA92" i="3"/>
  <c r="AB92" i="3" s="1"/>
  <c r="AC92" i="3" s="1"/>
  <c r="Z209" i="3"/>
  <c r="AA209" i="3"/>
  <c r="AB209" i="3" s="1"/>
  <c r="AC209" i="3" s="1"/>
  <c r="AA289" i="3"/>
  <c r="AB289" i="3" s="1"/>
  <c r="AC289" i="3" s="1"/>
  <c r="Z289" i="3"/>
  <c r="Z111" i="3"/>
  <c r="AA111" i="3"/>
  <c r="AB111" i="3" s="1"/>
  <c r="AC111" i="3" s="1"/>
  <c r="Z8" i="3"/>
  <c r="AA8" i="3"/>
  <c r="AB8" i="3" s="1"/>
  <c r="AC8" i="3" s="1"/>
  <c r="AA135" i="3"/>
  <c r="AB135" i="3" s="1"/>
  <c r="AC135" i="3" s="1"/>
  <c r="Z135" i="3"/>
  <c r="Z266" i="3"/>
  <c r="Z94" i="3"/>
  <c r="AA94" i="3"/>
  <c r="AB94" i="3" s="1"/>
  <c r="AC94" i="3" s="1"/>
  <c r="AA313" i="3"/>
  <c r="AB313" i="3" s="1"/>
  <c r="AC313" i="3" s="1"/>
  <c r="AA82" i="3"/>
  <c r="AB82" i="3" s="1"/>
  <c r="AC82" i="3" s="1"/>
  <c r="AA154" i="3"/>
  <c r="AB154" i="3" s="1"/>
  <c r="AC154" i="3" s="1"/>
  <c r="AA21" i="3"/>
  <c r="AB21" i="3" s="1"/>
  <c r="AC21" i="3" s="1"/>
  <c r="Z3" i="3"/>
  <c r="AA3" i="3"/>
  <c r="AB3" i="3" s="1"/>
  <c r="AC3" i="3" s="1"/>
  <c r="AA144" i="3"/>
  <c r="AB144" i="3" s="1"/>
  <c r="AC144" i="3" s="1"/>
  <c r="AA220" i="3"/>
  <c r="AB220" i="3" s="1"/>
  <c r="AC220" i="3" s="1"/>
  <c r="Z177" i="3" l="1"/>
  <c r="AA177" i="3"/>
  <c r="AB177" i="3" s="1"/>
  <c r="AC177" i="3" s="1"/>
  <c r="Z297" i="3"/>
  <c r="AA297" i="3"/>
  <c r="AB297" i="3" s="1"/>
  <c r="AC297" i="3" s="1"/>
</calcChain>
</file>

<file path=xl/sharedStrings.xml><?xml version="1.0" encoding="utf-8"?>
<sst xmlns="http://schemas.openxmlformats.org/spreadsheetml/2006/main" count="4265" uniqueCount="1350">
  <si>
    <t>Date</t>
  </si>
  <si>
    <t>Tenant Name</t>
  </si>
  <si>
    <t>Property</t>
  </si>
  <si>
    <t>Address</t>
  </si>
  <si>
    <t>City</t>
  </si>
  <si>
    <t>Submarket</t>
  </si>
  <si>
    <t>County</t>
  </si>
  <si>
    <t>Leased RSF</t>
  </si>
  <si>
    <t>Type</t>
  </si>
  <si>
    <t>Execution Month</t>
  </si>
  <si>
    <t>Lease Commence. Date</t>
  </si>
  <si>
    <t>Lease Expiration Date</t>
  </si>
  <si>
    <t>Lease Termination Date</t>
  </si>
  <si>
    <t>Term (Mos)</t>
  </si>
  <si>
    <t>Starting Base Rent (NNN)</t>
  </si>
  <si>
    <t>Tax &amp; Operating</t>
  </si>
  <si>
    <t>Starting Gross Rent</t>
  </si>
  <si>
    <t>Annual Increases</t>
  </si>
  <si>
    <t>TIs ($/SF)</t>
  </si>
  <si>
    <t>TIs ($/SF) Per Lease Year</t>
  </si>
  <si>
    <t>Gross Rent Abatement</t>
  </si>
  <si>
    <t>Abatement Type</t>
  </si>
  <si>
    <t>Gross Abatement ($/SF)</t>
  </si>
  <si>
    <t>Mos. of Abatement per Lease Year</t>
  </si>
  <si>
    <t>Gross Abatement ($/SF) Per Lease Year</t>
  </si>
  <si>
    <t>Total Concession Package ($/SF)</t>
  </si>
  <si>
    <t>Total Concession Package ($/SF) Per Lease Year</t>
  </si>
  <si>
    <t>% of Net Rent</t>
  </si>
  <si>
    <t>Owner</t>
  </si>
  <si>
    <t>Tenant Rep Company</t>
  </si>
  <si>
    <t xml:space="preserve"> Tenant Rep Broker </t>
  </si>
  <si>
    <t>Comments</t>
  </si>
  <si>
    <t>Source</t>
  </si>
  <si>
    <t>Wurth</t>
  </si>
  <si>
    <t>Landmark of Lake Forest I</t>
  </si>
  <si>
    <t>100 S Saunders</t>
  </si>
  <si>
    <t>Lake Forest</t>
  </si>
  <si>
    <t>North</t>
  </si>
  <si>
    <t>Lake</t>
  </si>
  <si>
    <t>New Lease</t>
  </si>
  <si>
    <t>Gross</t>
  </si>
  <si>
    <t>Newsweb</t>
  </si>
  <si>
    <t>Cushman</t>
  </si>
  <si>
    <t>Scott Sorensen</t>
  </si>
  <si>
    <t>Spec Suite</t>
  </si>
  <si>
    <t>Michael Madden via Scott Sorensen</t>
  </si>
  <si>
    <t>Crescent Grove Advisors</t>
  </si>
  <si>
    <t>CBIZ</t>
  </si>
  <si>
    <t>Ben Cooper</t>
  </si>
  <si>
    <t>Michael Madden via Chris Cummins</t>
  </si>
  <si>
    <t>Barentz</t>
  </si>
  <si>
    <t>Oakbrook Terrace Tower</t>
  </si>
  <si>
    <t>1 Tower</t>
  </si>
  <si>
    <t>Oakbrook Terrace</t>
  </si>
  <si>
    <t>East West</t>
  </si>
  <si>
    <t>DuPage</t>
  </si>
  <si>
    <t>Michael Madden</t>
  </si>
  <si>
    <t>$5.00 furniture/relocation allowance</t>
  </si>
  <si>
    <t>Michael Madden Deal</t>
  </si>
  <si>
    <t>Sethness Roquette</t>
  </si>
  <si>
    <t>Pointe O'Hare</t>
  </si>
  <si>
    <t>9550 W Higgins</t>
  </si>
  <si>
    <t>Rosemont</t>
  </si>
  <si>
    <t>O'Hare</t>
  </si>
  <si>
    <t>Cook</t>
  </si>
  <si>
    <t>Michael Madden via Steve Chrastka</t>
  </si>
  <si>
    <t>Onward Technologies</t>
  </si>
  <si>
    <t>Michael Madden via Jeff Shay</t>
  </si>
  <si>
    <t>Meridian Design Build</t>
  </si>
  <si>
    <t>No escalations years 1-3</t>
  </si>
  <si>
    <t>Miller and Company</t>
  </si>
  <si>
    <t>KD Pos Inc. dba Modus Technologies</t>
  </si>
  <si>
    <t>Michael Madden via Rob Graham</t>
  </si>
  <si>
    <t>BMO Harris</t>
  </si>
  <si>
    <t>Renewal</t>
  </si>
  <si>
    <t>Ambulatory Management Solutions</t>
  </si>
  <si>
    <t>Clarion Home Services</t>
  </si>
  <si>
    <t>Bannockburn Atrium</t>
  </si>
  <si>
    <t>2275 Half Day</t>
  </si>
  <si>
    <t>Bannockburn</t>
  </si>
  <si>
    <t>Associated Bank (Lender)</t>
  </si>
  <si>
    <t>Michale Madden</t>
  </si>
  <si>
    <t>BrightStar Care</t>
  </si>
  <si>
    <t>Wangxiang America</t>
  </si>
  <si>
    <t>Max Nachemson</t>
  </si>
  <si>
    <t>Michael Madden via Max Nachemson</t>
  </si>
  <si>
    <t>Experian</t>
  </si>
  <si>
    <t>Schaumburg Corporate Center</t>
  </si>
  <si>
    <t>1515 E Woodfield</t>
  </si>
  <si>
    <t>Schaumburg</t>
  </si>
  <si>
    <t>Northwest</t>
  </si>
  <si>
    <t>CBRE</t>
  </si>
  <si>
    <t>Paul Diederich</t>
  </si>
  <si>
    <t>Michael Madden via Steve Degodny</t>
  </si>
  <si>
    <t>Beghou Consulting</t>
  </si>
  <si>
    <t>Evanston Station</t>
  </si>
  <si>
    <t>909 Davis</t>
  </si>
  <si>
    <t>Evanston</t>
  </si>
  <si>
    <t>JLL</t>
  </si>
  <si>
    <t>Terry Mostrom</t>
  </si>
  <si>
    <t>Miller Cooper</t>
  </si>
  <si>
    <t>Three Parkway North</t>
  </si>
  <si>
    <t>3 Parkway Blvd N</t>
  </si>
  <si>
    <t>Deerfield</t>
  </si>
  <si>
    <t>Dairy Management</t>
  </si>
  <si>
    <t xml:space="preserve">Riverway </t>
  </si>
  <si>
    <t>6133 N River</t>
  </si>
  <si>
    <t>Brad Frank</t>
  </si>
  <si>
    <t>Michael Madden via Brad Frank</t>
  </si>
  <si>
    <t>ULSE, Inc.</t>
  </si>
  <si>
    <t>Orrington Plaza</t>
  </si>
  <si>
    <t>1603 Orrington</t>
  </si>
  <si>
    <t xml:space="preserve">Evanston </t>
  </si>
  <si>
    <t>Chris Wood</t>
  </si>
  <si>
    <t>Comcast</t>
  </si>
  <si>
    <t>1475 E Woodfield</t>
  </si>
  <si>
    <t>James Otto</t>
  </si>
  <si>
    <t>Topco</t>
  </si>
  <si>
    <t>Two Pierce Place</t>
  </si>
  <si>
    <t>2 Pierce</t>
  </si>
  <si>
    <t>Itasca</t>
  </si>
  <si>
    <t>Winland</t>
  </si>
  <si>
    <t>Commerce Plaza</t>
  </si>
  <si>
    <t>2015 Spring</t>
  </si>
  <si>
    <t>Oak Brook</t>
  </si>
  <si>
    <t>Legat Architects</t>
  </si>
  <si>
    <t>Renewal/Expansion</t>
  </si>
  <si>
    <t>Vantiv</t>
  </si>
  <si>
    <t>Corporate 500</t>
  </si>
  <si>
    <t>510 Lake Cook</t>
  </si>
  <si>
    <t>Sagent</t>
  </si>
  <si>
    <t>Jon Springer</t>
  </si>
  <si>
    <t>Convergint</t>
  </si>
  <si>
    <t>Bell Works</t>
  </si>
  <si>
    <t>2000 Center</t>
  </si>
  <si>
    <t>Hoffman Estates</t>
  </si>
  <si>
    <t>Colliers</t>
  </si>
  <si>
    <t xml:space="preserve">Tom Beraducci </t>
  </si>
  <si>
    <t>Abatement is actually 48 months at half rent</t>
  </si>
  <si>
    <t>City of Evanston</t>
  </si>
  <si>
    <t>Chris Cummins</t>
  </si>
  <si>
    <t>Medline</t>
  </si>
  <si>
    <t>Astellas - North Tower</t>
  </si>
  <si>
    <t>2375 Waterview</t>
  </si>
  <si>
    <t>Northbrook</t>
  </si>
  <si>
    <t>Astellas</t>
  </si>
  <si>
    <t>Mizkan</t>
  </si>
  <si>
    <t>Woodfield Corporate Center</t>
  </si>
  <si>
    <t>20 N Martingale</t>
  </si>
  <si>
    <t>Savills</t>
  </si>
  <si>
    <t>Robert Sevim</t>
  </si>
  <si>
    <t>$2M of TI was used to break lease at Feehanville.</t>
  </si>
  <si>
    <t>Yellowstone Wealth Management</t>
  </si>
  <si>
    <t>Conway One</t>
  </si>
  <si>
    <t>100 N Field</t>
  </si>
  <si>
    <t>Pine Tree</t>
  </si>
  <si>
    <t>Clark Baird Smith</t>
  </si>
  <si>
    <t>Bradford Allen</t>
  </si>
  <si>
    <t>Jonathan Metzl</t>
  </si>
  <si>
    <t>Jonathan Metzl Deal</t>
  </si>
  <si>
    <t>CH Robinson</t>
  </si>
  <si>
    <t>Continental Towers</t>
  </si>
  <si>
    <t>1701 E Golf</t>
  </si>
  <si>
    <t>Rolling Meadows</t>
  </si>
  <si>
    <t>Adam McCostlin</t>
  </si>
  <si>
    <t>Michael Madden via Adam McCostlin</t>
  </si>
  <si>
    <t>Takeda</t>
  </si>
  <si>
    <t>Innovation Park</t>
  </si>
  <si>
    <t>Libertyville</t>
  </si>
  <si>
    <t>Net</t>
  </si>
  <si>
    <t>Snap-On Credit</t>
  </si>
  <si>
    <t>Pine Meadow Corporate Center</t>
  </si>
  <si>
    <t>950 Technology</t>
  </si>
  <si>
    <t>Spinell / McCarthy</t>
  </si>
  <si>
    <t>accentCare</t>
  </si>
  <si>
    <t>Shafer Court</t>
  </si>
  <si>
    <t>6400 Shafer</t>
  </si>
  <si>
    <t>Renewal/Downsize</t>
  </si>
  <si>
    <t>Free Market Ventures</t>
  </si>
  <si>
    <t>Karoline Eigel</t>
  </si>
  <si>
    <t>Michael Madden via Karoline Eigel</t>
  </si>
  <si>
    <t>Salem Group</t>
  </si>
  <si>
    <t>Buffalo Grove Business Park</t>
  </si>
  <si>
    <t>1130 W Lake Cook</t>
  </si>
  <si>
    <t>Buffalo Grove</t>
  </si>
  <si>
    <t>Hamilton Partners</t>
  </si>
  <si>
    <t>Direct</t>
  </si>
  <si>
    <t>Gross lease</t>
  </si>
  <si>
    <t>Michael Madden via the Tenant</t>
  </si>
  <si>
    <t>SGL Financial</t>
  </si>
  <si>
    <t>Gross Lease</t>
  </si>
  <si>
    <t>Zynga</t>
  </si>
  <si>
    <t>Cumberland Center</t>
  </si>
  <si>
    <t xml:space="preserve">5440 N Cumberland </t>
  </si>
  <si>
    <t>Chicago</t>
  </si>
  <si>
    <t>Jim Rose</t>
  </si>
  <si>
    <t>Gross rent</t>
  </si>
  <si>
    <t>Michael Madden via Jason Wurtz</t>
  </si>
  <si>
    <t>Sarfatty Associates</t>
  </si>
  <si>
    <t>500 Davis Center</t>
  </si>
  <si>
    <t>500 Davis</t>
  </si>
  <si>
    <t>Parkside Realty Inc.</t>
  </si>
  <si>
    <t xml:space="preserve">MedPoint Digital </t>
  </si>
  <si>
    <t xml:space="preserve"> Cook</t>
  </si>
  <si>
    <t>Dan Persa</t>
  </si>
  <si>
    <t>Stern Perkoski Mendez</t>
  </si>
  <si>
    <t>Robert Half</t>
  </si>
  <si>
    <t>One O'Hare Center</t>
  </si>
  <si>
    <t>6250 N River</t>
  </si>
  <si>
    <t>Nicola Wealth</t>
  </si>
  <si>
    <t>Clark, Johnson &amp; Knight, LTD</t>
  </si>
  <si>
    <t>6300 N River</t>
  </si>
  <si>
    <t>Sublease</t>
  </si>
  <si>
    <t>Farpoint Development</t>
  </si>
  <si>
    <t>Littelfuse</t>
  </si>
  <si>
    <t>Riverway</t>
  </si>
  <si>
    <t>Adventus US Realty</t>
  </si>
  <si>
    <t>Cresa</t>
  </si>
  <si>
    <t>Ed Lowenbaum</t>
  </si>
  <si>
    <t>$3.00/SF relocation allowance.  Base building restrooms will be renovated</t>
  </si>
  <si>
    <t>Steve Degoney</t>
  </si>
  <si>
    <t>Davis-Standard</t>
  </si>
  <si>
    <t>O'Hare Plaza</t>
  </si>
  <si>
    <t>8725 W Higgins</t>
  </si>
  <si>
    <t>Fulcrum</t>
  </si>
  <si>
    <t>Andrew Kaplan</t>
  </si>
  <si>
    <t>Carelon / AIM Specialty Health</t>
  </si>
  <si>
    <t>540 Lake Cook</t>
  </si>
  <si>
    <t>Opal Holdings</t>
  </si>
  <si>
    <t>Liron Nelik (Los Angeles)</t>
  </si>
  <si>
    <t>Michael Madden via Matt Hickey</t>
  </si>
  <si>
    <t>Weis Builders</t>
  </si>
  <si>
    <t>US Cellular Plaza</t>
  </si>
  <si>
    <t xml:space="preserve">8420 W Bryn Mawr </t>
  </si>
  <si>
    <t>FCA Partners</t>
  </si>
  <si>
    <t>Noah Turner</t>
  </si>
  <si>
    <t>95 Percent Group</t>
  </si>
  <si>
    <t>The Four Hundreds</t>
  </si>
  <si>
    <t>475 Half Day</t>
  </si>
  <si>
    <t>Lincolnshire</t>
  </si>
  <si>
    <t>Millbrook Properties</t>
  </si>
  <si>
    <t>LivHome (Arosa)</t>
  </si>
  <si>
    <t>5215 Old Orchard</t>
  </si>
  <si>
    <t>Skokie</t>
  </si>
  <si>
    <t>Millbrook</t>
  </si>
  <si>
    <t>Stanley Consultants</t>
  </si>
  <si>
    <t>8501 Higgins</t>
  </si>
  <si>
    <t>8501 W Higgins</t>
  </si>
  <si>
    <t>Phoenix US Holdings, Inc.</t>
  </si>
  <si>
    <t>MarketSpark</t>
  </si>
  <si>
    <t>Bannockburn Lakes IV</t>
  </si>
  <si>
    <t>2201 Waukegan</t>
  </si>
  <si>
    <t>Glenstar Properies, LLC</t>
  </si>
  <si>
    <t>Fully furnished, wired and cabled</t>
  </si>
  <si>
    <t>Sanctuary Wealth</t>
  </si>
  <si>
    <t>40 Skokie</t>
  </si>
  <si>
    <t>40 Skokie Blvd</t>
  </si>
  <si>
    <t>Farbman Group</t>
  </si>
  <si>
    <t>Henry Lee</t>
  </si>
  <si>
    <t>Spec suite.  No allowance given for the short term lease.</t>
  </si>
  <si>
    <t>Henry Lee Deal</t>
  </si>
  <si>
    <t>Honeywell</t>
  </si>
  <si>
    <t xml:space="preserve">Fifth Third Center </t>
  </si>
  <si>
    <t>6111 N River</t>
  </si>
  <si>
    <t>Firth Third Bank</t>
  </si>
  <si>
    <t>Otto</t>
  </si>
  <si>
    <t>Patrick Elwood</t>
  </si>
  <si>
    <t>Link Industrial</t>
  </si>
  <si>
    <t>Celero</t>
  </si>
  <si>
    <t>Springer, Kaplan</t>
  </si>
  <si>
    <t>McShane</t>
  </si>
  <si>
    <t>O'Hare Gateway</t>
  </si>
  <si>
    <t>9500 W Bryn Mawr</t>
  </si>
  <si>
    <t>Hillwood</t>
  </si>
  <si>
    <t>Wells Fargo Rail</t>
  </si>
  <si>
    <t xml:space="preserve">9377 W Higgins </t>
  </si>
  <si>
    <t>Haribo</t>
  </si>
  <si>
    <t xml:space="preserve">9500 W Bryn Mawr </t>
  </si>
  <si>
    <t>Michael Madden via Jim Ward</t>
  </si>
  <si>
    <t>Dermody Properties</t>
  </si>
  <si>
    <t>Wynnchurch Capital</t>
  </si>
  <si>
    <t>Early Renewal</t>
  </si>
  <si>
    <t>Vander-Bend Manufacturing</t>
  </si>
  <si>
    <t>Luminare Health Benefits</t>
  </si>
  <si>
    <t>Jungbunzlauer</t>
  </si>
  <si>
    <t>Society of Actuaries</t>
  </si>
  <si>
    <t>Triangle Plaza</t>
  </si>
  <si>
    <t>8770 W Bryn Mawr</t>
  </si>
  <si>
    <t>Newmark</t>
  </si>
  <si>
    <t>Adams</t>
  </si>
  <si>
    <t>Culligan International</t>
  </si>
  <si>
    <t>Expansion</t>
  </si>
  <si>
    <t>Association of Flight Attendants</t>
  </si>
  <si>
    <t>Reyes Holdings</t>
  </si>
  <si>
    <t>Liljeberg, McGillicuddy</t>
  </si>
  <si>
    <t>Venture One</t>
  </si>
  <si>
    <t>AFCO / Truist Bank (formerly BankDirect Capital Finance)</t>
  </si>
  <si>
    <t>Two Conway</t>
  </si>
  <si>
    <t>150 N Field</t>
  </si>
  <si>
    <t>CF Industries</t>
  </si>
  <si>
    <t>Astellas - South Tower</t>
  </si>
  <si>
    <t>McCarthy, Spinell</t>
  </si>
  <si>
    <t xml:space="preserve">Full service gross lease </t>
  </si>
  <si>
    <t>University of Chicago Medicine Care Network</t>
  </si>
  <si>
    <t>Combined 400</t>
  </si>
  <si>
    <t>400 Skokie Blvd</t>
  </si>
  <si>
    <t>SHER, LLP</t>
  </si>
  <si>
    <t>Harmswood</t>
  </si>
  <si>
    <t>5750 Old Orchard</t>
  </si>
  <si>
    <t>KORE Investments LLC</t>
  </si>
  <si>
    <t>RXO Capacity Solutions</t>
  </si>
  <si>
    <t>Combined Center III</t>
  </si>
  <si>
    <t>707 Skokie Blvd</t>
  </si>
  <si>
    <t>Madden, Rovito</t>
  </si>
  <si>
    <t>Raw space, building top signage</t>
  </si>
  <si>
    <t>Resource Brokerage</t>
  </si>
  <si>
    <t>1501 E Woodfield</t>
  </si>
  <si>
    <t>GlenStar Properties</t>
  </si>
  <si>
    <t>Paying on 5,000 SF.  TI only applied to 5K SF and totally convertible to abatement</t>
  </si>
  <si>
    <t>RGLA Solutions, Inc.</t>
  </si>
  <si>
    <t>5100 N River Rd</t>
  </si>
  <si>
    <t>5100 N River</t>
  </si>
  <si>
    <t>Schiller Park</t>
  </si>
  <si>
    <t>Group RMC</t>
  </si>
  <si>
    <t>NAGASE</t>
  </si>
  <si>
    <t>300 Park Blvd</t>
  </si>
  <si>
    <t>300 Park</t>
  </si>
  <si>
    <t>LL will pay tenants existing rent obligation from 6/1/25-5/31/27 and then pay their termination penalty fee.</t>
  </si>
  <si>
    <t>DSP Insurance</t>
  </si>
  <si>
    <t>Centennial Center</t>
  </si>
  <si>
    <t>1900 E Golf</t>
  </si>
  <si>
    <t>Gregg Raus</t>
  </si>
  <si>
    <t>Michael Madden via Brent Jacob</t>
  </si>
  <si>
    <t>Mallory Alexander</t>
  </si>
  <si>
    <t>O'Hare Offices</t>
  </si>
  <si>
    <t>1111 E Touhy</t>
  </si>
  <si>
    <t>Des Plaines</t>
  </si>
  <si>
    <t>gross</t>
  </si>
  <si>
    <t>Siete 7</t>
  </si>
  <si>
    <t>Reduced rent by $2.50</t>
  </si>
  <si>
    <t>GN Hearing Care Corporation (Beltone)</t>
  </si>
  <si>
    <t>Prairie Glen Corp Campus</t>
  </si>
  <si>
    <t>2700 Partiot</t>
  </si>
  <si>
    <t>Glenview</t>
  </si>
  <si>
    <t>Maysa USA, LLC</t>
  </si>
  <si>
    <t>Received monument signage. $1.50/SF and abatement included in commission</t>
  </si>
  <si>
    <t>Pietsch Financial</t>
  </si>
  <si>
    <t>ArborLake Centre</t>
  </si>
  <si>
    <t>1751 Lake Cook</t>
  </si>
  <si>
    <t>Stanton Road Capital</t>
  </si>
  <si>
    <t>Schuler Scholar Program</t>
  </si>
  <si>
    <t>Tri State International</t>
  </si>
  <si>
    <t>100 Tri State Int'l</t>
  </si>
  <si>
    <t>David Tropp</t>
  </si>
  <si>
    <t>Turnkey</t>
  </si>
  <si>
    <t>FSB&amp;W</t>
  </si>
  <si>
    <t>544 Lakeview</t>
  </si>
  <si>
    <t>Vernon Hills</t>
  </si>
  <si>
    <t>Ravinia Capital</t>
  </si>
  <si>
    <t>Two of the eight months of free rent are 600 SF at no cost for years 1 &amp; 2</t>
  </si>
  <si>
    <t>Genuine Cable</t>
  </si>
  <si>
    <t>International Tower</t>
  </si>
  <si>
    <t>8550 W Bryn Mawr</t>
  </si>
  <si>
    <t>Bridge Investment</t>
  </si>
  <si>
    <t>John Gaines</t>
  </si>
  <si>
    <t>Chubb Insurance</t>
  </si>
  <si>
    <t>425 N Martingale</t>
  </si>
  <si>
    <t>New York Life Real Estate</t>
  </si>
  <si>
    <t>AIT Logistics</t>
  </si>
  <si>
    <t>Sovereign Partners</t>
  </si>
  <si>
    <t>Eric Kunkel</t>
  </si>
  <si>
    <t>Trivium Packaging</t>
  </si>
  <si>
    <t>O'Hare International Center</t>
  </si>
  <si>
    <t>10255 W Higgins</t>
  </si>
  <si>
    <t>Bridge Investment Group</t>
  </si>
  <si>
    <t>Part of Ardagh Group.  Coming from a warehouse location.</t>
  </si>
  <si>
    <t>Michael Madden via John Norris</t>
  </si>
  <si>
    <t>Sky Services</t>
  </si>
  <si>
    <t>150 N Martingale</t>
  </si>
  <si>
    <t>Sperry Commercial</t>
  </si>
  <si>
    <t>Darryl Silverman</t>
  </si>
  <si>
    <t>Michael Madden via Doug Shehan</t>
  </si>
  <si>
    <t>Salem Media of Illinois</t>
  </si>
  <si>
    <t>25 Northwest Point</t>
  </si>
  <si>
    <t>25 NW Point</t>
  </si>
  <si>
    <t>Elk Grove Village</t>
  </si>
  <si>
    <t>11/1/023</t>
  </si>
  <si>
    <t>Tableau</t>
  </si>
  <si>
    <t>Two Conway Park</t>
  </si>
  <si>
    <t>Z Capital Partners as Sublandlord</t>
  </si>
  <si>
    <t>Stream Realty</t>
  </si>
  <si>
    <t>Brian Duffy</t>
  </si>
  <si>
    <t>Texas Instruments</t>
  </si>
  <si>
    <t>475 N Martingale</t>
  </si>
  <si>
    <t>Michael Madden via Dan Graham</t>
  </si>
  <si>
    <t>Rosenberg, Eisenberg &amp; Associates</t>
  </si>
  <si>
    <t>Arlington Place One</t>
  </si>
  <si>
    <t>2340 S Arlington Heights</t>
  </si>
  <si>
    <t>Arlington Heights</t>
  </si>
  <si>
    <t>BCG Corporation</t>
  </si>
  <si>
    <t>Regal Rexnord Corporation</t>
  </si>
  <si>
    <t>Riverway East</t>
  </si>
  <si>
    <t>Adventus</t>
  </si>
  <si>
    <t>Cardinal IP</t>
  </si>
  <si>
    <t>GEM Realty Capital</t>
  </si>
  <si>
    <t>Paramedic Service of Illinois</t>
  </si>
  <si>
    <t>Randall Point Executive Center</t>
  </si>
  <si>
    <t>2175 Point</t>
  </si>
  <si>
    <t>Elgin</t>
  </si>
  <si>
    <t>Kane</t>
  </si>
  <si>
    <t>PanCor Construction &amp; Development</t>
  </si>
  <si>
    <t>J. Rich Company</t>
  </si>
  <si>
    <t>Popular Bank</t>
  </si>
  <si>
    <t>O'Hare international Center II</t>
  </si>
  <si>
    <t>Renewal, Downsize</t>
  </si>
  <si>
    <t>Central Garden &amp; Pet</t>
  </si>
  <si>
    <t>Glenstar</t>
  </si>
  <si>
    <t>Pharma Start, LLC</t>
  </si>
  <si>
    <t>Regent O'Hare I</t>
  </si>
  <si>
    <t>821-891 Busse</t>
  </si>
  <si>
    <t>Brennan Investment Group</t>
  </si>
  <si>
    <t>Byline Bank</t>
  </si>
  <si>
    <t>Woodfield Preserve I</t>
  </si>
  <si>
    <t xml:space="preserve">10 N Martingale </t>
  </si>
  <si>
    <t>Zeller Realty</t>
  </si>
  <si>
    <t>Jeff Skender</t>
  </si>
  <si>
    <t xml:space="preserve">These terms are wanky, as the real economics are reflective in an early contraction/blend and extend. </t>
  </si>
  <si>
    <t>Primient / Primary Products Ingredients Americas, LLC</t>
  </si>
  <si>
    <t>Woodfield Preserve II</t>
  </si>
  <si>
    <t>Paul Diederich Deal</t>
  </si>
  <si>
    <t>Rogers Behavioral Health</t>
  </si>
  <si>
    <t>Harmswood Office Center</t>
  </si>
  <si>
    <t>Accreditation Association for Ambulatory Health Care (AAAHC)</t>
  </si>
  <si>
    <t>James Otto / Paul Diederich</t>
  </si>
  <si>
    <t>Club Colors</t>
  </si>
  <si>
    <t>Somerset Development</t>
  </si>
  <si>
    <t>Network Services Company</t>
  </si>
  <si>
    <t>Schaumburg Towers</t>
  </si>
  <si>
    <t>1400 &amp; 1450 American</t>
  </si>
  <si>
    <t>American Landmark Properties</t>
  </si>
  <si>
    <t>Hank Cox</t>
  </si>
  <si>
    <t>James Otto Deal</t>
  </si>
  <si>
    <t>Lee &amp; Associates</t>
  </si>
  <si>
    <t>Columbia Center II</t>
  </si>
  <si>
    <t>9450 W Bryn Mawr</t>
  </si>
  <si>
    <t>Michael Madden via Dan Svachula</t>
  </si>
  <si>
    <t>Sasser Family Holdings</t>
  </si>
  <si>
    <t>MCCS Realty</t>
  </si>
  <si>
    <t>Max Chopovsky</t>
  </si>
  <si>
    <t>Dan Graham</t>
  </si>
  <si>
    <t>Callero &amp; Callero</t>
  </si>
  <si>
    <t>1700 Higgins Centre</t>
  </si>
  <si>
    <t>1700 W Higgins</t>
  </si>
  <si>
    <t>Mariner Finance</t>
  </si>
  <si>
    <t>Mark Smith</t>
  </si>
  <si>
    <t>Multi-Color Corporation</t>
  </si>
  <si>
    <t>Fifth Third Center Rosemont</t>
  </si>
  <si>
    <t>Fifth Third Bank</t>
  </si>
  <si>
    <t>American Brain Tumor Association (ABTA)</t>
  </si>
  <si>
    <t xml:space="preserve">8550 W Bryn Mawr </t>
  </si>
  <si>
    <t>Golub Realty Services</t>
  </si>
  <si>
    <t>Assured Partners</t>
  </si>
  <si>
    <t>Presidents Plaza</t>
  </si>
  <si>
    <t>8600 W Bryn Mawr</t>
  </si>
  <si>
    <t>Glenstar Properties</t>
  </si>
  <si>
    <t>Kellen Monti</t>
  </si>
  <si>
    <t>Michael Madden via Bill Saviski</t>
  </si>
  <si>
    <t>AeroTek</t>
  </si>
  <si>
    <t>Jordan Rovito</t>
  </si>
  <si>
    <t>Stewart Title</t>
  </si>
  <si>
    <t>Turnkey construction</t>
  </si>
  <si>
    <t>Winix America Inc.</t>
  </si>
  <si>
    <t>Bannockburn Corporate Center</t>
  </si>
  <si>
    <t>3000 Lakeside</t>
  </si>
  <si>
    <t>Colliers International</t>
  </si>
  <si>
    <t>Sarah Silva</t>
  </si>
  <si>
    <t>Michael Madden via Sarah Silva</t>
  </si>
  <si>
    <t>Mather Lifeways</t>
  </si>
  <si>
    <t>One Rotary Center</t>
  </si>
  <si>
    <t>1560 Sherman</t>
  </si>
  <si>
    <t>Rotary International</t>
  </si>
  <si>
    <t>Joe Arnstein</t>
  </si>
  <si>
    <t>Gross lease.  2023 BY.  Four months of gross rent in year 1, three months of gross rent in year 2.</t>
  </si>
  <si>
    <t>Hightower / Lerner Group</t>
  </si>
  <si>
    <t>500 Lake Cook</t>
  </si>
  <si>
    <t xml:space="preserve">Commenced the lease 9 months prior to their current expiration.  Received 4,578 SF at no cost for the first 9 months. </t>
  </si>
  <si>
    <t>JMA Wireless</t>
  </si>
  <si>
    <t xml:space="preserve">1751 Lake Cook </t>
  </si>
  <si>
    <t>Renewal, Expansion</t>
  </si>
  <si>
    <t>Expanded into adjacent suite 320</t>
  </si>
  <si>
    <t>Michael Madden via Jon Connor</t>
  </si>
  <si>
    <t>The 400 Building</t>
  </si>
  <si>
    <t>Ameritus</t>
  </si>
  <si>
    <t>Michael Madden via Patrick Elwood</t>
  </si>
  <si>
    <t>American Alliance Casualty Company</t>
  </si>
  <si>
    <t xml:space="preserve">8755 W Higgins </t>
  </si>
  <si>
    <t>Jim Ward</t>
  </si>
  <si>
    <t>Relocated from 8725 building. Abatement was 14 momths at half rent.</t>
  </si>
  <si>
    <t>Vision2Voice</t>
  </si>
  <si>
    <t>8430 W Bryn Mawr</t>
  </si>
  <si>
    <t>MBRE</t>
  </si>
  <si>
    <t>Kyle Robbins</t>
  </si>
  <si>
    <t>Spec suite plus $10.00</t>
  </si>
  <si>
    <t>Grumman Butkas Associates</t>
  </si>
  <si>
    <t>820 Davis St</t>
  </si>
  <si>
    <t>820 Davis</t>
  </si>
  <si>
    <t>The abatement and TI can be used today.  The abatement was spread throughout the term</t>
  </si>
  <si>
    <t>Michael Madden via Jess O'Hara</t>
  </si>
  <si>
    <t xml:space="preserve">American College of Osteopathic Family Physicians, Inc. </t>
  </si>
  <si>
    <t>8501 W Higgins Rd</t>
  </si>
  <si>
    <t>Gregg Witt</t>
  </si>
  <si>
    <t>Michael Madden via Mike Adams</t>
  </si>
  <si>
    <t>Wahl Clipper Corporation</t>
  </si>
  <si>
    <t>Residential Home Health</t>
  </si>
  <si>
    <t>Joel Berger</t>
  </si>
  <si>
    <t>Arizona College of Nurses</t>
  </si>
  <si>
    <t>Financial Center</t>
  </si>
  <si>
    <t>1375 E Woodfield</t>
  </si>
  <si>
    <t>Helios Property Management</t>
  </si>
  <si>
    <t>Jack Reardon</t>
  </si>
  <si>
    <t>Elara Caring</t>
  </si>
  <si>
    <t>1011 E Touhy</t>
  </si>
  <si>
    <t>Zenith / LG</t>
  </si>
  <si>
    <t>Millbrook Business Center</t>
  </si>
  <si>
    <t>2000 Millbrook</t>
  </si>
  <si>
    <t>$3.00/SF of HVAC and Janitorial in total CAM</t>
  </si>
  <si>
    <t>BD &lt; Carefusion</t>
  </si>
  <si>
    <t>Continental Executive Park</t>
  </si>
  <si>
    <t>75 N Fairway</t>
  </si>
  <si>
    <t>Dan McCarthy</t>
  </si>
  <si>
    <t>Alley Financial</t>
  </si>
  <si>
    <t>Market Square</t>
  </si>
  <si>
    <t>272 Market Square</t>
  </si>
  <si>
    <t>The Teachers Retirement System of Ohio</t>
  </si>
  <si>
    <t>Tecta America Commercial Roofing</t>
  </si>
  <si>
    <t>Paul Giannapolous</t>
  </si>
  <si>
    <t>Healthtrust Purchasing</t>
  </si>
  <si>
    <t>Balasa Dinverno</t>
  </si>
  <si>
    <t>Avison Young</t>
  </si>
  <si>
    <t>Jeff Lindenmeyer</t>
  </si>
  <si>
    <t>TI includes $20 for base building</t>
  </si>
  <si>
    <t>Graybar Electric</t>
  </si>
  <si>
    <t>One Pierce Place</t>
  </si>
  <si>
    <t>1 Pierce</t>
  </si>
  <si>
    <t>Belfour Pacific</t>
  </si>
  <si>
    <t>Scott Ohlander</t>
  </si>
  <si>
    <t>Lettuce Entertain You Enterprises</t>
  </si>
  <si>
    <t xml:space="preserve">Cook </t>
  </si>
  <si>
    <t>Hyla Mobile as Sublandlord</t>
  </si>
  <si>
    <t>Phil Golding</t>
  </si>
  <si>
    <t>Fully furnished.  Furniture owned by master landlord</t>
  </si>
  <si>
    <t>Meridian Compensation Partners</t>
  </si>
  <si>
    <t xml:space="preserve">Lake </t>
  </si>
  <si>
    <t>Mike Adams</t>
  </si>
  <si>
    <t>Rob Graham</t>
  </si>
  <si>
    <t>Brunswick Corp.</t>
  </si>
  <si>
    <t>Woodland Falls Corporate Center</t>
  </si>
  <si>
    <t>26125 N Riverwoods</t>
  </si>
  <si>
    <t>Mettawa</t>
  </si>
  <si>
    <t>Vyaire as Sublandlord</t>
  </si>
  <si>
    <t>David Saad</t>
  </si>
  <si>
    <t>Vyaire Medical partial sublease includes phones and furniture.</t>
  </si>
  <si>
    <t>CBRE Vouchers</t>
  </si>
  <si>
    <t>Alberstons</t>
  </si>
  <si>
    <t>Riverside Insights as Sublandlord</t>
  </si>
  <si>
    <t>Furniture included. The rate dropped because they took more space than needed - they took the full floor</t>
  </si>
  <si>
    <t>Life Fitness</t>
  </si>
  <si>
    <t>Columbia Centre III</t>
  </si>
  <si>
    <t>9525 W Bryn Mawr</t>
  </si>
  <si>
    <t>Diederich, Saad</t>
  </si>
  <si>
    <t>Diederich</t>
  </si>
  <si>
    <t>Mold-Rite Plastics</t>
  </si>
  <si>
    <t>One Conway</t>
  </si>
  <si>
    <t>Pembroke-IV</t>
  </si>
  <si>
    <t>7 initial months free, then 5 months at 1/2 rent. Turnkey</t>
  </si>
  <si>
    <t>Fisher, Cohen, Waldman &amp; Shapiro</t>
  </si>
  <si>
    <t>Combined Center I</t>
  </si>
  <si>
    <t>500 Skokie Blvd</t>
  </si>
  <si>
    <t>Seneca</t>
  </si>
  <si>
    <t>Julie Koelzer</t>
  </si>
  <si>
    <t>StructureTec</t>
  </si>
  <si>
    <t>3100 Dundee</t>
  </si>
  <si>
    <t>Korman Lederer</t>
  </si>
  <si>
    <t>Modified gross lease.  Abatement occurs months 1-3, 13 &amp; 14.  Turnkey</t>
  </si>
  <si>
    <t>GMS</t>
  </si>
  <si>
    <t>O'Hare International Center I</t>
  </si>
  <si>
    <t>10275 W Higgins</t>
  </si>
  <si>
    <t>John Shannon</t>
  </si>
  <si>
    <t>John Norris</t>
  </si>
  <si>
    <t>Ameriprise Financial</t>
  </si>
  <si>
    <t>Bespoke</t>
  </si>
  <si>
    <t xml:space="preserve">Bill Lusso </t>
  </si>
  <si>
    <t>GHD Services</t>
  </si>
  <si>
    <t>6300 River Road</t>
  </si>
  <si>
    <t>Tenant elected to contribute 100% of their concessions towards TI for the short term deal on a raw space</t>
  </si>
  <si>
    <t>Colgate Palmolive</t>
  </si>
  <si>
    <t>Turnkey construction came back at $70.  Tenant received 7 months of abatement, 100% of which was converted to TI to cover construction.</t>
  </si>
  <si>
    <t>First Financial Credit Union</t>
  </si>
  <si>
    <t>Michael Madden, Paul Diederich</t>
  </si>
  <si>
    <t>Spec Suite.  $10.00 TI can be allocate 100% towards FF&amp;E, moving or rent</t>
  </si>
  <si>
    <t>Euclid Insurance</t>
  </si>
  <si>
    <t>Spring Lake Executive Campus III</t>
  </si>
  <si>
    <t>234 Spring Lake</t>
  </si>
  <si>
    <t>Illinois Property Solutions</t>
  </si>
  <si>
    <t>Prestone Products Corporation</t>
  </si>
  <si>
    <t>Positive Development</t>
  </si>
  <si>
    <t>155 Pfingsten</t>
  </si>
  <si>
    <t>Eric Sorensen</t>
  </si>
  <si>
    <t>Turnkey.  Autism patient center.  Will have their own access</t>
  </si>
  <si>
    <t>Deluxe Check</t>
  </si>
  <si>
    <t>5450 N Cumberland</t>
  </si>
  <si>
    <t>Integris Ventures</t>
  </si>
  <si>
    <t>Steve Levitas</t>
  </si>
  <si>
    <t>Abatement totally convertible to additional TI, TI ended up something close to $91.50/SF</t>
  </si>
  <si>
    <t>Michael Madden via Jack Reardon</t>
  </si>
  <si>
    <t>Brennan Investments</t>
  </si>
  <si>
    <t>Dan Graham Deal</t>
  </si>
  <si>
    <t>The Baldwin Group (formerly BKS Partners / Rosenthal Bros)</t>
  </si>
  <si>
    <t>Executive Offices of Deerfield Square</t>
  </si>
  <si>
    <t>740 Waukegan</t>
  </si>
  <si>
    <t>CRM Propoerties Group, Ltd.</t>
  </si>
  <si>
    <t>RSM</t>
  </si>
  <si>
    <t>1450 American</t>
  </si>
  <si>
    <t>Rick Schuham</t>
  </si>
  <si>
    <t>RG</t>
  </si>
  <si>
    <t>Heritage Crystal Clean</t>
  </si>
  <si>
    <t>Sven Sykes</t>
  </si>
  <si>
    <t>Pronto Finance</t>
  </si>
  <si>
    <t>4 months converted towards termination penalty at 1900 E Golf, so estentially year 1 free</t>
  </si>
  <si>
    <t>Michael Madden via Matt Hickey via Mike Trumpy</t>
  </si>
  <si>
    <t>Ansys, Inc.</t>
  </si>
  <si>
    <t>Evanston MetroCenter</t>
  </si>
  <si>
    <t>1007 Church</t>
  </si>
  <si>
    <t>FD Stonewater</t>
  </si>
  <si>
    <t>Fi-Tek, LLC</t>
  </si>
  <si>
    <t>Tenant pays on 3,000 SF for years 1-2, 3,317 SF for years 3-4, and the full SF from there  //  $45.00 TI in work, plus an additional $10.00 Towards FF&amp;E</t>
  </si>
  <si>
    <t>New York Life Insurance</t>
  </si>
  <si>
    <t>1650 Lake Cook</t>
  </si>
  <si>
    <t>Barrington Venture, LLC</t>
  </si>
  <si>
    <t>Warady &amp; Davis</t>
  </si>
  <si>
    <t>1717 Deerfield</t>
  </si>
  <si>
    <t>Gross lease / 10 months free year 1, 6 months in year 2 and 4 months in year 3 / $10.00 TI could be converted to additional abatement</t>
  </si>
  <si>
    <t>Michael Madden via Jake Blesi</t>
  </si>
  <si>
    <t>Goosehead Insurance</t>
  </si>
  <si>
    <t>6300 River</t>
  </si>
  <si>
    <t>12 additional gross months free on 5,000 SF.  TI was anywhere between $70-$80/SF</t>
  </si>
  <si>
    <t>Dru Garcia</t>
  </si>
  <si>
    <t>Council on Accreditation of Nurse Anesthesia</t>
  </si>
  <si>
    <t>Dan Graham via Rob Lundin</t>
  </si>
  <si>
    <t>Belden Wire, Inc.</t>
  </si>
  <si>
    <t>Cushman &amp; Wakefield</t>
  </si>
  <si>
    <t>Came from out of market.</t>
  </si>
  <si>
    <t>Dan Graham via Jason Simon</t>
  </si>
  <si>
    <t>Leica Microsystems</t>
  </si>
  <si>
    <t>Ten Parkway North</t>
  </si>
  <si>
    <t>10 Parkway Blvd N</t>
  </si>
  <si>
    <t>CORE Investments</t>
  </si>
  <si>
    <t>Gross lease.  Base year of 2022.  T+O's as shown are 2021 actual</t>
  </si>
  <si>
    <t>Leica BioSystems</t>
  </si>
  <si>
    <t>The Reserve at Deer Park</t>
  </si>
  <si>
    <t>21440 W Lake Cook</t>
  </si>
  <si>
    <t>Deer Park</t>
  </si>
  <si>
    <t>White Oak Funding Company</t>
  </si>
  <si>
    <t>James Otto, Paul Diederich</t>
  </si>
  <si>
    <t>Teradyne, Inc.</t>
  </si>
  <si>
    <t>Comfort Keepers</t>
  </si>
  <si>
    <t>Chevy Chase Business Park East I</t>
  </si>
  <si>
    <t>1400 E Lake Cook</t>
  </si>
  <si>
    <t xml:space="preserve">Abatement only applied to the 1,477 SF expansion space </t>
  </si>
  <si>
    <t>Michael Madden via Brian Lunt</t>
  </si>
  <si>
    <t>KSA Lighting and Controls</t>
  </si>
  <si>
    <t>Hamilton Lakes</t>
  </si>
  <si>
    <t>150 E Pierce</t>
  </si>
  <si>
    <t>Dru Garcia via Patrick Elwood</t>
  </si>
  <si>
    <t>Vail Systems</t>
  </si>
  <si>
    <t>Deerbrook Corporate Center</t>
  </si>
  <si>
    <t>570 Lake Cook</t>
  </si>
  <si>
    <t>Bradford Allen Realty Services</t>
  </si>
  <si>
    <t>$7.50 can be converted to additional abatement</t>
  </si>
  <si>
    <t>Intellihot</t>
  </si>
  <si>
    <t>750 E Bunker</t>
  </si>
  <si>
    <t>Graham Enterprises, Inc.</t>
  </si>
  <si>
    <t>Tenant Advisors</t>
  </si>
  <si>
    <t>David Ven Horst</t>
  </si>
  <si>
    <t>Coilplus, Inc.</t>
  </si>
  <si>
    <t>Patrick Commerical</t>
  </si>
  <si>
    <t>Kip Hennelly</t>
  </si>
  <si>
    <t>Metal One America</t>
  </si>
  <si>
    <t>Stifel</t>
  </si>
  <si>
    <t>Pembroke IV</t>
  </si>
  <si>
    <t>Scott Shelbourne</t>
  </si>
  <si>
    <t>Abatement was spread 3 months in year one, and 3 months in year two</t>
  </si>
  <si>
    <t>Montway</t>
  </si>
  <si>
    <t>New York Life Real Estate Investors</t>
  </si>
  <si>
    <t>Matt Frazee</t>
  </si>
  <si>
    <t>Michael Madden via Mark Smith</t>
  </si>
  <si>
    <t>SunCrest Home Health</t>
  </si>
  <si>
    <t>One Northbrook Place</t>
  </si>
  <si>
    <t>5 Revere</t>
  </si>
  <si>
    <t>Fulcrum Asset Advisors LLC</t>
  </si>
  <si>
    <t>LanzaJet</t>
  </si>
  <si>
    <t>520 Lake Cook</t>
  </si>
  <si>
    <t>HH Global as Sublandlord</t>
  </si>
  <si>
    <t>Kimley Horn</t>
  </si>
  <si>
    <t>Jon Azulay</t>
  </si>
  <si>
    <t>ZIO by iRhythm</t>
  </si>
  <si>
    <t>38,579 SF on 4th floor &amp; 6,037 SF on 1st  /  The rent was blended between the two floors and came out close to $21.00  / They were given $107.00/SF to use as either abatement or TI and they elected 100% TI</t>
  </si>
  <si>
    <t>Arch Venture Partners</t>
  </si>
  <si>
    <t>8755 W Higgins</t>
  </si>
  <si>
    <t>Marvin Herb</t>
  </si>
  <si>
    <t>Gross rent.  Abatement is actually 12 months at 50% gross rent</t>
  </si>
  <si>
    <t>Westcor Land Title Insurance Company</t>
  </si>
  <si>
    <t>Washington Commons II</t>
  </si>
  <si>
    <t>650 E Diehl</t>
  </si>
  <si>
    <t>Naperville</t>
  </si>
  <si>
    <t>SVN Equities LLC</t>
  </si>
  <si>
    <t>Turnkey including furniture</t>
  </si>
  <si>
    <t>D.R. Horton</t>
  </si>
  <si>
    <t>One Century Centre</t>
  </si>
  <si>
    <t>1750 E Golf</t>
  </si>
  <si>
    <t>Boxer Property</t>
  </si>
  <si>
    <t>Dan Bessey</t>
  </si>
  <si>
    <t>Research</t>
  </si>
  <si>
    <t>Crane USA</t>
  </si>
  <si>
    <t>Spring Lake Executive Campus I</t>
  </si>
  <si>
    <t>1015 W Hawthorn</t>
  </si>
  <si>
    <t>Comerica Bank</t>
  </si>
  <si>
    <t>Columbia Center</t>
  </si>
  <si>
    <t>LPL Financial</t>
  </si>
  <si>
    <t>Oak Brook Twenty-Two</t>
  </si>
  <si>
    <t>1211 W 22nd</t>
  </si>
  <si>
    <t>Golub &amp; Company</t>
  </si>
  <si>
    <t>R1 RCM</t>
  </si>
  <si>
    <t>8750 W Bryn Mawr</t>
  </si>
  <si>
    <t>Alliance HSP</t>
  </si>
  <si>
    <t>Andy Strand</t>
  </si>
  <si>
    <t>Dru Garcia via John Clark</t>
  </si>
  <si>
    <t>Loyola Press</t>
  </si>
  <si>
    <t xml:space="preserve">8770 W Bryn Mawr </t>
  </si>
  <si>
    <t>David Herbert</t>
  </si>
  <si>
    <t>Allied Universal</t>
  </si>
  <si>
    <t>O'Hare International Center II</t>
  </si>
  <si>
    <t>Bridge Commercial Real Estate</t>
  </si>
  <si>
    <t>Turnkeyed new lights and paint</t>
  </si>
  <si>
    <t>NIDEC</t>
  </si>
  <si>
    <t>Northwest Tech Centre</t>
  </si>
  <si>
    <t>2401 Hassell</t>
  </si>
  <si>
    <t>Guardian Life Insurance Company</t>
  </si>
  <si>
    <t>Rick Morris</t>
  </si>
  <si>
    <t>Gross lease.  Tenant rep commission was only $0.50/SF</t>
  </si>
  <si>
    <t>Paul Diederich via Jack Reardon</t>
  </si>
  <si>
    <t>Ally Financial</t>
  </si>
  <si>
    <t>Paul Diederich via David Florent</t>
  </si>
  <si>
    <t>Lakeshore Recycling Systems</t>
  </si>
  <si>
    <t>Balmoral</t>
  </si>
  <si>
    <t>5500 Pearl</t>
  </si>
  <si>
    <t>CVS Caremark</t>
  </si>
  <si>
    <t>West Plaza</t>
  </si>
  <si>
    <t>3100 Sanders</t>
  </si>
  <si>
    <t>The Allstate Corporation</t>
  </si>
  <si>
    <t>John Conerty</t>
  </si>
  <si>
    <t xml:space="preserve">James Otto </t>
  </si>
  <si>
    <t>BCI Acrylic</t>
  </si>
  <si>
    <t>1950 Technology</t>
  </si>
  <si>
    <t>BECO Management</t>
  </si>
  <si>
    <t>Industrial user in the immediate vicinity, moving over some office people and a call center to make room for expansion within their industrial footprint</t>
  </si>
  <si>
    <t>James Otto via Mitch Loveman</t>
  </si>
  <si>
    <t>Miller Capital Advisory</t>
  </si>
  <si>
    <t>Brown CPA</t>
  </si>
  <si>
    <t>Edens Corporate Center I</t>
  </si>
  <si>
    <t>630 Dundee</t>
  </si>
  <si>
    <t>KBS Real Estate Investment Trust, Inc.</t>
  </si>
  <si>
    <t>Lennar</t>
  </si>
  <si>
    <t>Century Center II</t>
  </si>
  <si>
    <t>1700 E Golf</t>
  </si>
  <si>
    <t>Turnkey value not provided, LL agreed to complete work</t>
  </si>
  <si>
    <t>Medical Research Network</t>
  </si>
  <si>
    <t>Barings</t>
  </si>
  <si>
    <t>Vestian</t>
  </si>
  <si>
    <t>Pat Kabilca</t>
  </si>
  <si>
    <t>Subleasing from Master Brands for $22.00 gross until 2/29/2023</t>
  </si>
  <si>
    <t>RMS Lifeline (Davita Health)</t>
  </si>
  <si>
    <t>One Parkway North</t>
  </si>
  <si>
    <t>1 Parkway Blvd N</t>
  </si>
  <si>
    <t>Wachovia Capital Markets</t>
  </si>
  <si>
    <t xml:space="preserve">12 months beneficial occupancy on 498 SF </t>
  </si>
  <si>
    <t>Dru Garcia via Jon Connor</t>
  </si>
  <si>
    <t>Amcor</t>
  </si>
  <si>
    <t>Termination Option end of the 10th year; they are getting building top signage and panel along I-294</t>
  </si>
  <si>
    <t>Edelman Financial</t>
  </si>
  <si>
    <t>Allstate</t>
  </si>
  <si>
    <t>Sean Moran, Mike Adams</t>
  </si>
  <si>
    <t>Michael Madden via Sean Moran</t>
  </si>
  <si>
    <t>Illinois Education Association</t>
  </si>
  <si>
    <t>5215 Old Orchard Rd</t>
  </si>
  <si>
    <t>James Otto, Dru Garcia</t>
  </si>
  <si>
    <t>Move-in ready delivery</t>
  </si>
  <si>
    <t>Dru Garcia Deal</t>
  </si>
  <si>
    <t>Magma Foundry</t>
  </si>
  <si>
    <t>Woodfield Preserve</t>
  </si>
  <si>
    <t>Paul Diederich via Rob Graham</t>
  </si>
  <si>
    <t>NextRow Digital</t>
  </si>
  <si>
    <t>Schuamburg Towers</t>
  </si>
  <si>
    <t>Howard Ecker</t>
  </si>
  <si>
    <t>Ira Pearlman</t>
  </si>
  <si>
    <t>Kotra Korea Business Center</t>
  </si>
  <si>
    <t>Mark Kolar</t>
  </si>
  <si>
    <t>TI spread over term</t>
  </si>
  <si>
    <t>Equitable Financial (formerly AXA Advisors)</t>
  </si>
  <si>
    <t>Turn key</t>
  </si>
  <si>
    <t>Cetera Financial</t>
  </si>
  <si>
    <t>Scumburg Towers II</t>
  </si>
  <si>
    <t>Michael Madden via Dave Florent</t>
  </si>
  <si>
    <t>Horwitz &amp; Associates</t>
  </si>
  <si>
    <t>Hyatt Deerfield Campus</t>
  </si>
  <si>
    <t>Road Ranger</t>
  </si>
  <si>
    <t>Spec Suite;  Paying on 12K SF years 1-2, 14K SF years 3-4, total SF from there</t>
  </si>
  <si>
    <t>Paul Diederich via Bill Saviski</t>
  </si>
  <si>
    <t>Acrisure Insurance</t>
  </si>
  <si>
    <t>Tom Koelzer</t>
  </si>
  <si>
    <t>CJG Partners</t>
  </si>
  <si>
    <t>David VenHorst</t>
  </si>
  <si>
    <t>Carevoyant</t>
  </si>
  <si>
    <t>Crossroads Center</t>
  </si>
  <si>
    <t>3701 Algonquin</t>
  </si>
  <si>
    <t>Marc Realty</t>
  </si>
  <si>
    <t xml:space="preserve">Full service gross lease - $35.00/SF spec suite </t>
  </si>
  <si>
    <t>Paul Diederich via Alan Raphaeli</t>
  </si>
  <si>
    <t>Paris Presents Inc</t>
  </si>
  <si>
    <t>Paying on 15,000 SF.  2 additional months beneficial occupancy</t>
  </si>
  <si>
    <t>Emerson Electric Company (Formerly Appleton Electric Group)</t>
  </si>
  <si>
    <t>Riverway Central</t>
  </si>
  <si>
    <t>9377 W Higgins</t>
  </si>
  <si>
    <t>Adventus Realty Services Inc.</t>
  </si>
  <si>
    <t>Axiom Properties</t>
  </si>
  <si>
    <t>Ryan Bertin</t>
  </si>
  <si>
    <t>Noatum Logistics</t>
  </si>
  <si>
    <t>Brent Jacob</t>
  </si>
  <si>
    <t>Furnished spec suite</t>
  </si>
  <si>
    <t>American Financial Management</t>
  </si>
  <si>
    <t>Balmoral Business Campus</t>
  </si>
  <si>
    <t>Intergris Ventures</t>
  </si>
  <si>
    <t>Gross rent.  Turnkey space with TI provided for moving costs and additional furniture. Entirety of abatement is 50% rent.</t>
  </si>
  <si>
    <t>Mobile Therapy Centers of America, LLC</t>
  </si>
  <si>
    <t>850 Technology</t>
  </si>
  <si>
    <t>RCG Management Services</t>
  </si>
  <si>
    <t>James Otto via Mitchell Loveman</t>
  </si>
  <si>
    <t>Meridian Group International</t>
  </si>
  <si>
    <t>Nine Parkway North</t>
  </si>
  <si>
    <t>9 Parkway Blvd N</t>
  </si>
  <si>
    <t>Reduced rent by $4.00; Landlord agreed to terminate 19,249 SF of tennat premises 1 year early and waived an early termination fee equivalent to $45/SF</t>
  </si>
  <si>
    <t>Paul Diederich via Steve Kling</t>
  </si>
  <si>
    <t>AFCO Credit Corporation</t>
  </si>
  <si>
    <t>Columbia Centre I</t>
  </si>
  <si>
    <t>5600 N River</t>
  </si>
  <si>
    <t>PremiStar, formerly Reedy Industries</t>
  </si>
  <si>
    <t>10 Parkway North</t>
  </si>
  <si>
    <t>Core Acquisitions LLC</t>
  </si>
  <si>
    <t xml:space="preserve">Turnkey delivery. Modified gross lease.  </t>
  </si>
  <si>
    <t>Industrial Opportunity Partners</t>
  </si>
  <si>
    <t>GRE-GOCO Orrington Owner LLC</t>
  </si>
  <si>
    <t>Fastmore Logistics</t>
  </si>
  <si>
    <t>Windy Point I</t>
  </si>
  <si>
    <t>1500 McConnor</t>
  </si>
  <si>
    <t>Victor SanMiguel</t>
  </si>
  <si>
    <t>Partial spec suite</t>
  </si>
  <si>
    <t xml:space="preserve">Dan McGillicuddy </t>
  </si>
  <si>
    <t>Michael Madden via Mike Graham</t>
  </si>
  <si>
    <t>Newly Weds Foods</t>
  </si>
  <si>
    <t>Golub</t>
  </si>
  <si>
    <t>CTK Chicago Partners</t>
  </si>
  <si>
    <t>Steve Aaronson</t>
  </si>
  <si>
    <t>Avalign Technologies</t>
  </si>
  <si>
    <t>Michael Madden, Justin Hucek</t>
  </si>
  <si>
    <t>Turnkey including furniture, 8 months beneficial occupancy starting 4/1/21</t>
  </si>
  <si>
    <t>Foster Premier</t>
  </si>
  <si>
    <t>750 E Lake Cook</t>
  </si>
  <si>
    <t>Gross lease. 2.6 months abatement converted to additional TI.</t>
  </si>
  <si>
    <t>Canon Medical</t>
  </si>
  <si>
    <t>Deerpath Atrium Office Center</t>
  </si>
  <si>
    <t>704-708 Deerpath</t>
  </si>
  <si>
    <t>Deerpath Atrium Office Center LLC (Berkson &amp; Sons)</t>
  </si>
  <si>
    <t>James Otto, Hank Cox</t>
  </si>
  <si>
    <t>Lease restructure, 12 mo. early</t>
  </si>
  <si>
    <t>Nutrien</t>
  </si>
  <si>
    <t>Advantax</t>
  </si>
  <si>
    <t>Westfield Business Park</t>
  </si>
  <si>
    <t>2500 Westfield</t>
  </si>
  <si>
    <t>Old Chase space that they are taking furnished</t>
  </si>
  <si>
    <t>Royal United Mortgage</t>
  </si>
  <si>
    <t>Schaumburg Towers I</t>
  </si>
  <si>
    <t>SanMiguel</t>
  </si>
  <si>
    <t xml:space="preserve">Paul Diederich via Dave Florent </t>
  </si>
  <si>
    <t>Marex Soectron</t>
  </si>
  <si>
    <t>Chicago Autism Behavior Specialists</t>
  </si>
  <si>
    <t>Spring Lake Executive Campus II</t>
  </si>
  <si>
    <t>945 W Hawthorn</t>
  </si>
  <si>
    <t>Turn-key</t>
  </si>
  <si>
    <t>Paul Diederich via Jason Wurtz</t>
  </si>
  <si>
    <t>Michael Madden via Milan Gacanovic</t>
  </si>
  <si>
    <t>Meitheal Pharma</t>
  </si>
  <si>
    <t>Presidents Plaza II</t>
  </si>
  <si>
    <t xml:space="preserve">8700 W Bryn Mawr </t>
  </si>
  <si>
    <t>GlenStar</t>
  </si>
  <si>
    <t>Subtenant going to direct lease</t>
  </si>
  <si>
    <t>Kovach Eye Institute</t>
  </si>
  <si>
    <t>7250 N Cicero</t>
  </si>
  <si>
    <t>Lincolnwood</t>
  </si>
  <si>
    <t>JDM Real Estate Services</t>
  </si>
  <si>
    <t>Capital Realty Partners</t>
  </si>
  <si>
    <t>Jay Scholten</t>
  </si>
  <si>
    <t>Gross lease.  Abatement spread throughout term</t>
  </si>
  <si>
    <t>Barings Real Estate Advisers LLC</t>
  </si>
  <si>
    <t>Tenant relocated from building 500 to 540.  Terminated lease with their Oct. 2020 notice</t>
  </si>
  <si>
    <t>TotalMed Staffing</t>
  </si>
  <si>
    <t>Woodfield Financial Centre I</t>
  </si>
  <si>
    <t>Private Capital Group</t>
  </si>
  <si>
    <t>Chepov &amp; Scott, LLC</t>
  </si>
  <si>
    <t>Prism Realty</t>
  </si>
  <si>
    <t>Tony Guido</t>
  </si>
  <si>
    <t>Michlael Madden via Mike Graham</t>
  </si>
  <si>
    <t>Jaguar Gene Therapy</t>
  </si>
  <si>
    <t>Sean Kropke</t>
  </si>
  <si>
    <t>Gross lease.  Space was substantially furnished. There was a few months of contemplated abatement which burned off before move-in, so really none.</t>
  </si>
  <si>
    <t>American Agricultural Insurance Company</t>
  </si>
  <si>
    <t>First Bank of Iowa</t>
  </si>
  <si>
    <t>Glass Mountain Capital</t>
  </si>
  <si>
    <t>Gross deal</t>
  </si>
  <si>
    <t>Misumi USA</t>
  </si>
  <si>
    <t>Glenstar Properties, LLC</t>
  </si>
  <si>
    <t>Paul Buckingham, Brian Reaney, Matt Frazee</t>
  </si>
  <si>
    <t>$16.00/G for first 2.5 years, then 16.50/N with $0.50 bumps. Following the 2.5 years, 12 month gross abatement &amp; $60/TI</t>
  </si>
  <si>
    <t>Maersk</t>
  </si>
  <si>
    <t>Berkley Insurance</t>
  </si>
  <si>
    <t>Transwestern</t>
  </si>
  <si>
    <t>Dave Wilson</t>
  </si>
  <si>
    <t>Michael Madden via CB Research</t>
  </si>
  <si>
    <t>Buckingham Asset Management</t>
  </si>
  <si>
    <t>Keelan Twitty</t>
  </si>
  <si>
    <t>Tech USA, LLC</t>
  </si>
  <si>
    <t>Mariner Higgins Centra, LLC</t>
  </si>
  <si>
    <t>TerSera Therapeutics</t>
  </si>
  <si>
    <t>Riverwalk II</t>
  </si>
  <si>
    <t>2100 E Lake Cook</t>
  </si>
  <si>
    <t>Accesso Partners LLC</t>
  </si>
  <si>
    <t>Richard Schuham, John Conerty</t>
  </si>
  <si>
    <t>$17.09 MG rent. Extension executed 3 yrs prior to LXD when net rent was $15.75.</t>
  </si>
  <si>
    <t>James Otto via Chris Cummins</t>
  </si>
  <si>
    <t>Intel</t>
  </si>
  <si>
    <t>thyssenkrupp</t>
  </si>
  <si>
    <t>Greenspoint I</t>
  </si>
  <si>
    <t>2800 W Higgins</t>
  </si>
  <si>
    <t>Teachers' Retirement System of the State of IL</t>
  </si>
  <si>
    <t>Cleaned carpet and some paint</t>
  </si>
  <si>
    <t>Advocate Health and Hospitals Corporation</t>
  </si>
  <si>
    <t>Balmoral Business I</t>
  </si>
  <si>
    <t>5400 Pearl</t>
  </si>
  <si>
    <t>Dell Corporation</t>
  </si>
  <si>
    <t>Gary Fazzio</t>
  </si>
  <si>
    <t>Trelleborg</t>
  </si>
  <si>
    <t>Duck Creek Technologies LLC</t>
  </si>
  <si>
    <t>One O'Hare Centre</t>
  </si>
  <si>
    <t>2018-994257</t>
  </si>
  <si>
    <t>Mueller &amp; Company</t>
  </si>
  <si>
    <t>Fischer Corporate Center</t>
  </si>
  <si>
    <t>1707 N Randall</t>
  </si>
  <si>
    <t>John B Sanfilippo &amp; Son, Inc.</t>
  </si>
  <si>
    <t>MIHA Bodytec Inc</t>
  </si>
  <si>
    <t>Addison Business Center</t>
  </si>
  <si>
    <t>2171 W Executive</t>
  </si>
  <si>
    <t>Addison</t>
  </si>
  <si>
    <t>Westmount Realty Capital</t>
  </si>
  <si>
    <t>Incredible Technologies</t>
  </si>
  <si>
    <t>1 Overlook</t>
  </si>
  <si>
    <t>Van Vlissingen &amp; Company</t>
  </si>
  <si>
    <t>Turnkey delivery, $57.50 TIA.</t>
  </si>
  <si>
    <t>Procter &amp; Gamble Distributing Company</t>
  </si>
  <si>
    <t>O'Hare Int'l Office Ctr I</t>
  </si>
  <si>
    <t>BOF IL O'Hare International Center LLC c/o Bridge</t>
  </si>
  <si>
    <t>Extension executed three years early, current rent at $15.75/SF</t>
  </si>
  <si>
    <t>Iron Holdings, LLC</t>
  </si>
  <si>
    <t>650 Dundee</t>
  </si>
  <si>
    <t>KBS Realty Advisors Inc.</t>
  </si>
  <si>
    <t>Proper Title</t>
  </si>
  <si>
    <t>O'Hare Corporate Centre</t>
  </si>
  <si>
    <t>1300 W Higgins</t>
  </si>
  <si>
    <t>Park Ridge</t>
  </si>
  <si>
    <t>Charter National Bank</t>
  </si>
  <si>
    <t>Ardagh Metal Beverage USA Inc.</t>
  </si>
  <si>
    <t>EQC Triangle Plaza Property LLC</t>
  </si>
  <si>
    <t>Mathew Frazee, Rob Lundin</t>
  </si>
  <si>
    <t>Renewal/Expansion in both 8410 &amp; 8420 buildings</t>
  </si>
  <si>
    <t>CBRE Research; Norris</t>
  </si>
  <si>
    <t>Apex Design Build</t>
  </si>
  <si>
    <t>BRE IL Office Owner LLC</t>
  </si>
  <si>
    <t>Matthew Frazee</t>
  </si>
  <si>
    <t>Michael Madden via Paige Korte</t>
  </si>
  <si>
    <t>Insperity Support Services</t>
  </si>
  <si>
    <t>Standard Insurance</t>
  </si>
  <si>
    <t>Zeller Realty Group</t>
  </si>
  <si>
    <t>Riverway West</t>
  </si>
  <si>
    <t>9399 W Higgins</t>
  </si>
  <si>
    <t>Adventus Realty Trust</t>
  </si>
  <si>
    <t>$250,000 net abatement (3.25 months); $250,000 TI. Premises remained same, except for 3,500 SF of temp space expiring 2019.</t>
  </si>
  <si>
    <t>James Otto via San Svachula</t>
  </si>
  <si>
    <t>Wonderlic, Inc.</t>
  </si>
  <si>
    <t>Wells Real Estate Investment Fund</t>
  </si>
  <si>
    <t>Michael Madden via Rob Lundin</t>
  </si>
  <si>
    <t>RL Canning</t>
  </si>
  <si>
    <t>Angelo, Gordon &amp; Co.</t>
  </si>
  <si>
    <t>CBRE Research</t>
  </si>
  <si>
    <t>Savvas Learning Company, LLC (FKA Pearson Education, Inc.)</t>
  </si>
  <si>
    <t>$10/46</t>
  </si>
  <si>
    <t>Nbinv Ap3 Llc</t>
  </si>
  <si>
    <t>Greg Barkan, Remy deVarenne Paul Diederich, James Otto</t>
  </si>
  <si>
    <t>Done with Saddlebrook office. Pearson Education rebranded to Savvas.</t>
  </si>
  <si>
    <t>Transwestern Commercial Services Illinois LLC</t>
  </si>
  <si>
    <t>Oldcastle Building Envelope Inc</t>
  </si>
  <si>
    <t>Motivation Excellence</t>
  </si>
  <si>
    <t>Dave Ven Horst</t>
  </si>
  <si>
    <t>"“turnkey” (We were planning a spec suite and then ended up basically revising it to this tenant’s plan and the estimate is +/- $65 SF. It was less than the planned spec suite as the space needed full demo, etc.)"</t>
  </si>
  <si>
    <t>Network Merchants</t>
  </si>
  <si>
    <t>3,000 SF free for 18 months</t>
  </si>
  <si>
    <t>US Cellular</t>
  </si>
  <si>
    <t>Commerce Center</t>
  </si>
  <si>
    <t>50 E Commerce</t>
  </si>
  <si>
    <t>First American Management</t>
  </si>
  <si>
    <t>Modified gross rent.</t>
  </si>
  <si>
    <t>US Foods Inc</t>
  </si>
  <si>
    <t xml:space="preserve">9399 &amp; 9377 W Higgins </t>
  </si>
  <si>
    <t>US Realty #12</t>
  </si>
  <si>
    <t>Chris Reynolds, Mark Pasquella, Nathan Lamb, James Otto</t>
  </si>
  <si>
    <t>Full relocation from 6133 N River and consolidation at 9377 &amp; 9399 W. Higgins</t>
  </si>
  <si>
    <t>Interwork Architects, Inc.</t>
  </si>
  <si>
    <t>Progressif</t>
  </si>
  <si>
    <t>Peter Balyeat</t>
  </si>
  <si>
    <t>Turn key build out / Gross rent</t>
  </si>
  <si>
    <t>Alera Group</t>
  </si>
  <si>
    <t>James Otto via Steve Kling; Email on 4/2/20</t>
  </si>
  <si>
    <t>CJBS, LLC</t>
  </si>
  <si>
    <t>2100 Sanders</t>
  </si>
  <si>
    <t>Henley Management Company</t>
  </si>
  <si>
    <t>Kevin McLennan</t>
  </si>
  <si>
    <t>From CBRE Research</t>
  </si>
  <si>
    <t>Central Seaway Co.</t>
  </si>
  <si>
    <t>Milan Gacanovic</t>
  </si>
  <si>
    <t>48forty Solutions (formerly Northwest Pallet)</t>
  </si>
  <si>
    <t>$0.50 escalations begin on the first date of the fifth lease year and thereon annually</t>
  </si>
  <si>
    <t>Paul Diederich via David Saad</t>
  </si>
  <si>
    <t>Derick Dermatology</t>
  </si>
  <si>
    <t>DQS, Inc.</t>
  </si>
  <si>
    <t>Windy Points I</t>
  </si>
  <si>
    <t>Mike Adams, Sean Moran</t>
  </si>
  <si>
    <t>Digital Check Corp.</t>
  </si>
  <si>
    <t>Zimmerman Wealth Management</t>
  </si>
  <si>
    <t>Leo Capital Holdings, LLC</t>
  </si>
  <si>
    <t>Eating Recovery Center</t>
  </si>
  <si>
    <t>4201 Lake Cook</t>
  </si>
  <si>
    <t>Crossroad Partners</t>
  </si>
  <si>
    <t>Jordan Decker</t>
  </si>
  <si>
    <t>Taiyo Yuden</t>
  </si>
  <si>
    <t>Fonterra USA, Inc</t>
  </si>
  <si>
    <t>AGG Presidents Owner LLC c/o Glenstar</t>
  </si>
  <si>
    <t>Relocation from 1603.</t>
  </si>
  <si>
    <t>Northwestern University</t>
  </si>
  <si>
    <t>Moved from Skokie; Top Floor +; Former Thompson Reuters space.</t>
  </si>
  <si>
    <t>James Otto, CoStar, Surveys</t>
  </si>
  <si>
    <t>Selected Independent Funeral Homes</t>
  </si>
  <si>
    <t>One Overlook Point</t>
  </si>
  <si>
    <t>Paul Reaumond, Hank Cox, Justin Hucek</t>
  </si>
  <si>
    <t>Michael Madden via Justin Hucek</t>
  </si>
  <si>
    <t>WernerCo.</t>
  </si>
  <si>
    <t>555 Pierce</t>
  </si>
  <si>
    <t>Strategic Real Estate Advisors</t>
  </si>
  <si>
    <t>Bob Barr</t>
  </si>
  <si>
    <t>North Cook Intermediate Service Center</t>
  </si>
  <si>
    <t>Commerce Center at O'Hare</t>
  </si>
  <si>
    <t>1001 E Touhy</t>
  </si>
  <si>
    <t>1001 Touhy LLC</t>
  </si>
  <si>
    <t>Comcast of Illinois XIII L.P.</t>
  </si>
  <si>
    <t>Pine Meadow Corp Center</t>
  </si>
  <si>
    <t>850 Technology LLC</t>
  </si>
  <si>
    <t>Nathan Lamb, Chris Reynolds, Mark Pasquella, James Otto</t>
  </si>
  <si>
    <t>Gross rent at $15.90 PSF; good existing comditions from former Brighstar FF&amp;E</t>
  </si>
  <si>
    <t>Mitchell Loveman, CBRE CSC Juan Aviles</t>
  </si>
  <si>
    <t>Telecom Brokerage Inc.</t>
  </si>
  <si>
    <t>Golub &amp; Compnay</t>
  </si>
  <si>
    <t>Sublease from Staywell</t>
  </si>
  <si>
    <t>USDA</t>
  </si>
  <si>
    <t>550-700 E Diehl</t>
  </si>
  <si>
    <t>Planet Pharma</t>
  </si>
  <si>
    <t>Core Acquisitions, LLC</t>
  </si>
  <si>
    <t>Advanced Clinical</t>
  </si>
  <si>
    <t>Six Parkway North</t>
  </si>
  <si>
    <t>6 Parkway Blvd N</t>
  </si>
  <si>
    <t>Larry Serota</t>
  </si>
  <si>
    <t>Obix (CCSI)</t>
  </si>
  <si>
    <t>Greenspoint III</t>
  </si>
  <si>
    <t>2895 Greenspoint</t>
  </si>
  <si>
    <t>Teachers Retirement System of the State of IL</t>
  </si>
  <si>
    <t>Kellermeyer Godfryt Hart, P.C</t>
  </si>
  <si>
    <t>Adm3 LLC</t>
  </si>
  <si>
    <t>Previously located at 9701 W. Higgins Rd in 3,792 SF office</t>
  </si>
  <si>
    <t>Lundbeck (Expansion // Renewal)</t>
  </si>
  <si>
    <t>$80.00 Exp // $35.00 Renew</t>
  </si>
  <si>
    <t>Richard Schuham, John Goodman</t>
  </si>
  <si>
    <t>Renewal: Can use TI $ as rent credit. Same rent schedule as expansion.</t>
  </si>
  <si>
    <t>Prologis, Inc.</t>
  </si>
  <si>
    <t>This is just the expansion comp part. We have the whole renewal/expansion as a separate comp.</t>
  </si>
  <si>
    <t>Combined renewal/expansion comp.</t>
  </si>
  <si>
    <t>Continental Resources</t>
  </si>
  <si>
    <t>Andre Kaplan</t>
  </si>
  <si>
    <t>Michael Madden via Jason Simon</t>
  </si>
  <si>
    <t>Prestressed Concrete Institute (PCI)</t>
  </si>
  <si>
    <t>Steve Bauer</t>
  </si>
  <si>
    <t>$16.08, 2020 T&amp;Os</t>
  </si>
  <si>
    <t>Jensen Hughes</t>
  </si>
  <si>
    <t>Windy Pointe</t>
  </si>
  <si>
    <t>Turn-key. Consolidate of Linolnshire and Oakbrook Terrace</t>
  </si>
  <si>
    <t>Paul Diederich via John Norris</t>
  </si>
  <si>
    <t>Kiewit Construction</t>
  </si>
  <si>
    <t>Piedmont Office Realty Trust</t>
  </si>
  <si>
    <t>Society for Vascular Surgery</t>
  </si>
  <si>
    <t>AAOS Headquarters</t>
  </si>
  <si>
    <t>9400 W Higgins</t>
  </si>
  <si>
    <t>American Academy of Orthopedic Surgeons</t>
  </si>
  <si>
    <t>Richard Schuham, Eric Feinberg</t>
  </si>
  <si>
    <t>Gross building. Formerly 39,000 sf. They also doubled in size at the same terms, except the expansions were about 1.5 years early so that term was longer…80 month term.</t>
  </si>
  <si>
    <t>Physicians Immediate Care</t>
  </si>
  <si>
    <t>Darryl Silverman, Jake Spinell</t>
  </si>
  <si>
    <t>From Michael Graham email</t>
  </si>
  <si>
    <t>Dante Monteverde</t>
  </si>
  <si>
    <t>Intelligent Medical Objects</t>
  </si>
  <si>
    <t>O'Hare Gateway Office Center</t>
  </si>
  <si>
    <t>9600 W Bryn Mawr</t>
  </si>
  <si>
    <t>MJH Rosemont</t>
  </si>
  <si>
    <t>Robert Sevim, Adam Southard</t>
  </si>
  <si>
    <t>Jon Azulay, Savills</t>
  </si>
  <si>
    <t>United Airlines</t>
  </si>
  <si>
    <t>Northwest Crossing</t>
  </si>
  <si>
    <t>1501 W Shure Dr</t>
  </si>
  <si>
    <t>Toburn Partners</t>
  </si>
  <si>
    <t>Kevin Clifton, Jason West, Chris Cummins, Sean Henrick</t>
  </si>
  <si>
    <t>Paul Diederich, CoStar, CCAO</t>
  </si>
  <si>
    <t>IDEX</t>
  </si>
  <si>
    <t>Lou Hall, Daniel Wilkins</t>
  </si>
  <si>
    <t>$65 PSF / $2,551,380 total TIA. 1925 W Field lease expires 7/31/21.</t>
  </si>
  <si>
    <t>Paul Diederich 4/3/2020; James Otto via Tracy Shaefer</t>
  </si>
  <si>
    <t>Kutchin, Robbins &amp; Diamond, Ltd.</t>
  </si>
  <si>
    <t>1051 Perimeter Drive</t>
  </si>
  <si>
    <t>1051 Perimeter</t>
  </si>
  <si>
    <t>Ari Klein</t>
  </si>
  <si>
    <t>Michael Madden via Judd Barron</t>
  </si>
  <si>
    <t>Michael Silver</t>
  </si>
  <si>
    <t>John Goodman</t>
  </si>
  <si>
    <t>$100 concession package that can be convereted up to $30 into rent credits</t>
  </si>
  <si>
    <t>LTD Commodities</t>
  </si>
  <si>
    <t>Tri State International Office Center</t>
  </si>
  <si>
    <t>200 Tri State</t>
  </si>
  <si>
    <t>IHP – Tri State Asset LLC</t>
  </si>
  <si>
    <t>Kevin Clifton, Jonathan Metzl</t>
  </si>
  <si>
    <t>Tenant adding 19,901 SF on 9/1/22. Total occupancy to be 86,137 SF, LXD 2/28/19.</t>
  </si>
  <si>
    <t>Old National Bank (formerly First Midwest Bancorp, Inc.)</t>
  </si>
  <si>
    <t>Equity Commonwealth</t>
  </si>
  <si>
    <t>Stericycle</t>
  </si>
  <si>
    <t>Bannockburn Lakes III</t>
  </si>
  <si>
    <t>2355 Waukegan</t>
  </si>
  <si>
    <t>GlenStar Properties, LLC</t>
  </si>
  <si>
    <t>Michael Burns</t>
  </si>
  <si>
    <t>Komat'su</t>
  </si>
  <si>
    <t>Mike Hull</t>
  </si>
  <si>
    <t>Staged growth into suite (Yr 1: 1,500 SF; Yr 2: 2,500 SF; Yr 3: 3,776 SF)</t>
  </si>
  <si>
    <t>James Otto via John Clark</t>
  </si>
  <si>
    <t>Biotelemetry / LifeWatch Services, Inc.</t>
  </si>
  <si>
    <t>10255 W Higgins Rd</t>
  </si>
  <si>
    <t>BRE/COH IL LLC</t>
  </si>
  <si>
    <t>Cresa Partners</t>
  </si>
  <si>
    <t>Matt Schiffler</t>
  </si>
  <si>
    <t>Creospan / Cyberbridge</t>
  </si>
  <si>
    <t>As-is spec suite</t>
  </si>
  <si>
    <t>Curia (formerly Albany Molecular Research)</t>
  </si>
  <si>
    <t>Datto</t>
  </si>
  <si>
    <t>--</t>
  </si>
  <si>
    <t>6300 N River Rd</t>
  </si>
  <si>
    <t>LL Base Building Work provided above stated TI Allowance</t>
  </si>
  <si>
    <t>Design Science Consulting Inc.</t>
  </si>
  <si>
    <t>The 909 Davis Building</t>
  </si>
  <si>
    <t>909 Davis St</t>
  </si>
  <si>
    <t>FSP 909 David Street LLC</t>
  </si>
  <si>
    <t>Stepped $0.50 escl.</t>
  </si>
  <si>
    <t>Environment Resources Management (ERM)</t>
  </si>
  <si>
    <t>1701 Golf Rd</t>
  </si>
  <si>
    <t xml:space="preserve">expiring august 2024, was maybe 26-mo. extension. </t>
  </si>
  <si>
    <t>Flywire Corporation</t>
  </si>
  <si>
    <t>740 Waukegan Rd</t>
  </si>
  <si>
    <t>Former mgmt. office</t>
  </si>
  <si>
    <t>GE Health</t>
  </si>
  <si>
    <t>Michael Madden via David Saad</t>
  </si>
  <si>
    <t>Global Corporation</t>
  </si>
  <si>
    <t>Global on Demand Corporation</t>
  </si>
  <si>
    <t>Park Ridge Plaza</t>
  </si>
  <si>
    <t>350 S Northwest Hwy</t>
  </si>
  <si>
    <t>Park Ridge Building LLC</t>
  </si>
  <si>
    <t>Guardian Life: Pietsch Financial Group</t>
  </si>
  <si>
    <t>1751 Lake Cook Rd</t>
  </si>
  <si>
    <t>Heartland Financial dba HTLF</t>
  </si>
  <si>
    <t>10275 W Higgins Rd</t>
  </si>
  <si>
    <t>Horizon Group Properties as Sublandlord</t>
  </si>
  <si>
    <t>Modified Gross sublease with a 2022 base year / Fully furnished</t>
  </si>
  <si>
    <t>L2T Media</t>
  </si>
  <si>
    <t>Houghton Mifflin as Sublandlord</t>
  </si>
  <si>
    <t>Newmark Knight Frank</t>
  </si>
  <si>
    <t>Brian Reaney</t>
  </si>
  <si>
    <t>Lexmark International</t>
  </si>
  <si>
    <t>20 N Martingale Rd</t>
  </si>
  <si>
    <t>Paul Deiderich Deal</t>
  </si>
  <si>
    <t>Mid-Town Petroleum Acquisitions, Inc.</t>
  </si>
  <si>
    <t>Touhy Atrium Building</t>
  </si>
  <si>
    <t>1011 E Touhy Ave</t>
  </si>
  <si>
    <t>ADM2 LLC</t>
  </si>
  <si>
    <t>2019-005026</t>
  </si>
  <si>
    <t>Mutual of Omaha Insurance</t>
  </si>
  <si>
    <t>6400 Shafer Ct</t>
  </si>
  <si>
    <t>Michael Madden via Adam Showalter</t>
  </si>
  <si>
    <t>Natus Medical Inc.</t>
  </si>
  <si>
    <t>50 E. Commerce Dr</t>
  </si>
  <si>
    <t>NC&amp;C</t>
  </si>
  <si>
    <t>Pleas, Rich Hoyt</t>
  </si>
  <si>
    <t>Dan Graham, Paul Diederich, CBRE Research, CoStar</t>
  </si>
  <si>
    <t>Novartis</t>
  </si>
  <si>
    <t>2275 Half Day Rd</t>
  </si>
  <si>
    <t>Wanxiang America Real Estate Corp.</t>
  </si>
  <si>
    <t>Expansion 1,126 SF</t>
  </si>
  <si>
    <t>O'Halloran Kosoff Geitner &amp; Cook, LLC</t>
  </si>
  <si>
    <t>Edens Corporate Center II</t>
  </si>
  <si>
    <t>650 Dundee Rd</t>
  </si>
  <si>
    <t>Progressive Casualty Insurance Company</t>
  </si>
  <si>
    <t>5600 N River Rd</t>
  </si>
  <si>
    <t>Turnkey valued at $45.00 PSF</t>
  </si>
  <si>
    <t>Prudential</t>
  </si>
  <si>
    <t>Mike Trumpy</t>
  </si>
  <si>
    <t>Raymond James</t>
  </si>
  <si>
    <t>510 Lake Cook Rd</t>
  </si>
  <si>
    <t>Retina Consultants Ltd</t>
  </si>
  <si>
    <t>Talman Home Bldg</t>
  </si>
  <si>
    <t>2454 E Dempster St</t>
  </si>
  <si>
    <t>Klairmont Enterprises Inc/ Imperial Realty</t>
  </si>
  <si>
    <t>Full turn key</t>
  </si>
  <si>
    <t>Saputo</t>
  </si>
  <si>
    <t>1 Overlook Pt</t>
  </si>
  <si>
    <t>Van Vlissingen and Co.</t>
  </si>
  <si>
    <t>SEA Electric</t>
  </si>
  <si>
    <t>Harmwood Office Center</t>
  </si>
  <si>
    <t>5750 Old Orchard Rd</t>
  </si>
  <si>
    <t>Seasons Hospice and Palliative Care</t>
  </si>
  <si>
    <t>Howard Ecker &amp; Company</t>
  </si>
  <si>
    <t>Abatement was within the term</t>
  </si>
  <si>
    <t>Sedgwick Claims Mgmt</t>
  </si>
  <si>
    <t>570 Lake Cook Rd</t>
  </si>
  <si>
    <t>American Realty Advisors</t>
  </si>
  <si>
    <t>Snapfish</t>
  </si>
  <si>
    <t>O'Hare Plaza II</t>
  </si>
  <si>
    <t>8755 W Higgins Rd</t>
  </si>
  <si>
    <t>Relo from 2nd to 3rd floor / Gross lease</t>
  </si>
  <si>
    <t>Snap-On Technology</t>
  </si>
  <si>
    <t>Pine Meadow Corp Center II</t>
  </si>
  <si>
    <t>950 Technology Way</t>
  </si>
  <si>
    <t>Dinsdale Brothers, Inc.</t>
  </si>
  <si>
    <t>Ned Franke</t>
  </si>
  <si>
    <t>Snap-On to redo bathroom, LL handle common area restrooms. Net rate is a reduction. Commencement upon natural lease expiration, signed 2 years early.</t>
  </si>
  <si>
    <t>SurePeople</t>
  </si>
  <si>
    <t>Dino Sepsis</t>
  </si>
  <si>
    <t>TransTech IT Staffing</t>
  </si>
  <si>
    <t>Spring Lake Exec Campus</t>
  </si>
  <si>
    <t>220-248 Spring Lake Dr</t>
  </si>
  <si>
    <t>Panattoni Development Company, Inc.</t>
  </si>
  <si>
    <t>Valley National Bank</t>
  </si>
  <si>
    <t>Millbrook Corporate Center</t>
  </si>
  <si>
    <t>475 Half Day Rd</t>
  </si>
  <si>
    <t>Millbrook II LLC</t>
  </si>
  <si>
    <t>2019-041176</t>
  </si>
  <si>
    <t>Delaval as Sublandlord</t>
  </si>
  <si>
    <t xml:space="preserve">Fully furnished and wired </t>
  </si>
  <si>
    <t>Kincentric, a Spencer Stuart Company</t>
  </si>
  <si>
    <t>Bill Rogers</t>
  </si>
  <si>
    <t>Socius Ingredients</t>
  </si>
  <si>
    <t>Cumberland Metro</t>
  </si>
  <si>
    <t>5501-5523 N Cumberland</t>
  </si>
  <si>
    <t>GFG Industrial MLI, LLC</t>
  </si>
  <si>
    <t>Jay Beadle</t>
  </si>
  <si>
    <t>T-Mobile</t>
  </si>
  <si>
    <t>Chatham Centre</t>
  </si>
  <si>
    <t>1901 N Roselle</t>
  </si>
  <si>
    <t>BBM Incorporated</t>
  </si>
  <si>
    <t>Progressive Insurance</t>
  </si>
  <si>
    <t>Woodfield Preserve Office</t>
  </si>
  <si>
    <t>Woodfield Preserce Property, LLC</t>
  </si>
  <si>
    <t>Abatement on expansion only.  $15.00/TI on renewal space only.  Expansion (2,518 SF), Renewal (7,784 SF). New 5-yr term w term option end of 36 Mos. $32.50 Eexpansion, $15 PSF for existing TIA.</t>
  </si>
  <si>
    <t>Horizon Group</t>
  </si>
  <si>
    <t>Tony Karmin</t>
  </si>
  <si>
    <t>Fully furnished spec suite</t>
  </si>
  <si>
    <t>Michael Madden via Tony Karmin</t>
  </si>
  <si>
    <t>Regus Business Centre</t>
  </si>
  <si>
    <t>Michael Madden via CBRE Research</t>
  </si>
  <si>
    <t>Wells Fargo</t>
  </si>
  <si>
    <t>Landmark of Lake Forest-I</t>
  </si>
  <si>
    <t>Lake Forest Landmark Company LLC</t>
  </si>
  <si>
    <t>New Deal</t>
  </si>
  <si>
    <t>Bridge Development Partners</t>
  </si>
  <si>
    <t>Adventus US Realty #7</t>
  </si>
  <si>
    <t>Tandym Group / Execusearch</t>
  </si>
  <si>
    <t>Windy Point</t>
  </si>
  <si>
    <t>Paul, Rob</t>
  </si>
  <si>
    <t>Ecentria / OpticsPlanet</t>
  </si>
  <si>
    <t>Bannockburn Lakes II</t>
  </si>
  <si>
    <t>2345 Waukegan</t>
  </si>
  <si>
    <t>Protective Life Insurance as Sublandlord</t>
  </si>
  <si>
    <t>Coming from industrial building at 3150 Commercial Ave</t>
  </si>
  <si>
    <t>Batory Foods</t>
  </si>
  <si>
    <t>Tetra Pak</t>
  </si>
  <si>
    <t>Morgan Stanley</t>
  </si>
  <si>
    <t>Aon</t>
  </si>
  <si>
    <t>Omnicom</t>
  </si>
  <si>
    <t>Producers National</t>
  </si>
  <si>
    <t>Zeon Partners LLC</t>
  </si>
  <si>
    <t>300 Lakeside</t>
  </si>
  <si>
    <t>Andrea van Gelder</t>
  </si>
  <si>
    <t>Sentinal Net Lease</t>
  </si>
  <si>
    <t>Kurt Kitner</t>
  </si>
  <si>
    <t>111 Pfingsten</t>
  </si>
  <si>
    <t>8/312033</t>
  </si>
  <si>
    <t>Rand McNally as Sublandlord</t>
  </si>
  <si>
    <t>1701 Golf</t>
  </si>
  <si>
    <t>Jon Springer &amp; Andrew Kaplan</t>
  </si>
  <si>
    <t>Verizon Wireless</t>
  </si>
  <si>
    <t>American HIP Institute</t>
  </si>
  <si>
    <t>999 E Touhy</t>
  </si>
  <si>
    <t>Michael Madden via Tony Russo</t>
  </si>
  <si>
    <t>Gross Abatement ($/SF) Per Lease Month</t>
  </si>
  <si>
    <t>Kokomo</t>
  </si>
  <si>
    <t>ShankerValleau</t>
  </si>
  <si>
    <t>$.50/SF rent reduction</t>
  </si>
  <si>
    <t>Profile Products</t>
  </si>
  <si>
    <t>750 W Lake Cook</t>
  </si>
  <si>
    <t xml:space="preserve">Michael Madden deal </t>
  </si>
  <si>
    <t>Michael Madden deal</t>
  </si>
  <si>
    <t xml:space="preserve">$1.50/SF rent reduction started 1/1/2026 </t>
  </si>
  <si>
    <t>Footprint</t>
  </si>
  <si>
    <t>Downsize</t>
  </si>
  <si>
    <t>As-In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</si>
</sst>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;@"/>
    <numFmt numFmtId="165" formatCode="&quot;$&quot;#,##0.00"/>
    <numFmt numFmtId="166" formatCode="0&quot; Mos.&quot;"/>
    <numFmt numFmtId="167" formatCode="##.0&quot; Mos.&quot;"/>
    <numFmt numFmtId="168" formatCode="[$-409]mmm\-yy;@"/>
    <numFmt numFmtId="169" formatCode="##&quot; Mos.&quot;"/>
    <numFmt numFmtId="170" formatCode="0.0%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"/>
      <family val="2"/>
    </font>
    <font>
      <b/>
      <sz val="11"/>
      <name val="Aptos"/>
      <family val="2"/>
    </font>
    <font>
      <sz val="11"/>
      <color theme="1"/>
      <name val="Aptos"/>
      <family val="2"/>
    </font>
    <font>
      <sz val="11"/>
      <name val="Aptos"/>
      <family val="2"/>
    </font>
    <font>
      <sz val="11"/>
      <color rgb="FFE4002B"/>
      <name val="Aptos"/>
      <family val="2"/>
    </font>
    <font>
      <sz val="11"/>
      <color rgb="FFFF0000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A6192E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6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quotePrefix="1" applyFont="1" applyFill="1" applyBorder="1" applyAlignment="1">
      <alignment horizontal="center" vertical="center" wrapText="1"/>
    </xf>
    <xf numFmtId="0" fontId="2" fillId="2" borderId="0" xfId="0" quotePrefix="1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165" fontId="5" fillId="0" borderId="0" xfId="0" applyNumberFormat="1" applyFont="1" applyAlignment="1">
      <alignment horizontal="center" vertical="center" wrapText="1"/>
    </xf>
    <xf numFmtId="10" fontId="5" fillId="0" borderId="0" xfId="0" applyNumberFormat="1" applyFont="1" applyAlignment="1">
      <alignment horizontal="center" vertical="center" wrapText="1"/>
    </xf>
    <xf numFmtId="8" fontId="5" fillId="0" borderId="1" xfId="0" applyNumberFormat="1" applyFont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8" fontId="5" fillId="0" borderId="0" xfId="0" applyNumberFormat="1" applyFont="1" applyAlignment="1">
      <alignment horizontal="center" vertical="center" wrapText="1"/>
    </xf>
    <xf numFmtId="167" fontId="5" fillId="0" borderId="0" xfId="0" applyNumberFormat="1" applyFont="1" applyAlignment="1">
      <alignment horizontal="center" vertical="center" wrapText="1"/>
    </xf>
    <xf numFmtId="9" fontId="5" fillId="0" borderId="0" xfId="3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 wrapText="1"/>
    </xf>
    <xf numFmtId="3" fontId="5" fillId="0" borderId="0" xfId="1" applyNumberFormat="1" applyFont="1" applyFill="1" applyAlignment="1">
      <alignment horizontal="center" vertical="center" wrapText="1"/>
    </xf>
    <xf numFmtId="168" fontId="5" fillId="0" borderId="0" xfId="0" applyNumberFormat="1" applyFont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3" fontId="5" fillId="0" borderId="0" xfId="0" applyNumberFormat="1" applyFont="1" applyAlignment="1">
      <alignment horizontal="center" vertical="center" wrapText="1"/>
    </xf>
    <xf numFmtId="169" fontId="5" fillId="0" borderId="1" xfId="0" applyNumberFormat="1" applyFont="1" applyBorder="1" applyAlignment="1">
      <alignment horizontal="center" vertical="center" wrapText="1"/>
    </xf>
    <xf numFmtId="3" fontId="5" fillId="0" borderId="0" xfId="1" applyNumberFormat="1" applyFont="1" applyFill="1" applyBorder="1" applyAlignment="1">
      <alignment horizontal="center" vertical="center" wrapText="1"/>
    </xf>
    <xf numFmtId="8" fontId="5" fillId="0" borderId="0" xfId="3" applyNumberFormat="1" applyFont="1" applyFill="1" applyBorder="1" applyAlignment="1">
      <alignment horizontal="center" vertical="center" wrapText="1"/>
    </xf>
    <xf numFmtId="14" fontId="5" fillId="3" borderId="0" xfId="0" applyNumberFormat="1" applyFont="1" applyFill="1" applyAlignment="1">
      <alignment horizontal="center" vertical="center" wrapText="1"/>
    </xf>
    <xf numFmtId="3" fontId="5" fillId="3" borderId="0" xfId="1" applyNumberFormat="1" applyFont="1" applyFill="1" applyAlignment="1">
      <alignment horizontal="center" vertical="center" wrapText="1"/>
    </xf>
    <xf numFmtId="168" fontId="5" fillId="3" borderId="0" xfId="0" applyNumberFormat="1" applyFont="1" applyFill="1" applyAlignment="1">
      <alignment horizontal="center" vertical="center" wrapText="1"/>
    </xf>
    <xf numFmtId="165" fontId="5" fillId="3" borderId="1" xfId="0" applyNumberFormat="1" applyFont="1" applyFill="1" applyBorder="1" applyAlignment="1">
      <alignment horizontal="center" vertical="center" wrapText="1"/>
    </xf>
    <xf numFmtId="165" fontId="5" fillId="3" borderId="0" xfId="0" applyNumberFormat="1" applyFont="1" applyFill="1" applyAlignment="1">
      <alignment horizontal="center" vertical="center" wrapText="1"/>
    </xf>
    <xf numFmtId="8" fontId="5" fillId="3" borderId="0" xfId="0" applyNumberFormat="1" applyFont="1" applyFill="1" applyAlignment="1">
      <alignment horizontal="center" vertical="center" wrapText="1"/>
    </xf>
    <xf numFmtId="8" fontId="5" fillId="3" borderId="1" xfId="0" applyNumberFormat="1" applyFont="1" applyFill="1" applyBorder="1" applyAlignment="1">
      <alignment horizontal="center" vertical="center" wrapText="1"/>
    </xf>
    <xf numFmtId="169" fontId="5" fillId="3" borderId="1" xfId="0" applyNumberFormat="1" applyFont="1" applyFill="1" applyBorder="1" applyAlignment="1">
      <alignment horizontal="center" vertical="center" wrapText="1"/>
    </xf>
    <xf numFmtId="167" fontId="5" fillId="3" borderId="0" xfId="0" applyNumberFormat="1" applyFont="1" applyFill="1" applyAlignment="1">
      <alignment horizontal="center" vertical="center" wrapText="1"/>
    </xf>
    <xf numFmtId="10" fontId="5" fillId="3" borderId="0" xfId="0" applyNumberFormat="1" applyFont="1" applyFill="1" applyAlignment="1">
      <alignment horizontal="center" vertical="center" wrapText="1"/>
    </xf>
    <xf numFmtId="10" fontId="5" fillId="0" borderId="0" xfId="3" applyNumberFormat="1" applyFont="1" applyFill="1" applyAlignment="1">
      <alignment horizontal="center" vertical="center" wrapText="1"/>
    </xf>
    <xf numFmtId="0" fontId="5" fillId="0" borderId="0" xfId="3" applyNumberFormat="1" applyFont="1" applyFill="1" applyAlignment="1">
      <alignment horizontal="center" vertical="center" wrapText="1"/>
    </xf>
    <xf numFmtId="8" fontId="5" fillId="0" borderId="1" xfId="2" applyNumberFormat="1" applyFont="1" applyFill="1" applyBorder="1" applyAlignment="1">
      <alignment horizontal="center" vertical="center" wrapText="1"/>
    </xf>
    <xf numFmtId="8" fontId="5" fillId="0" borderId="0" xfId="2" applyNumberFormat="1" applyFont="1" applyFill="1" applyBorder="1" applyAlignment="1">
      <alignment horizontal="center" vertical="center" wrapText="1"/>
    </xf>
    <xf numFmtId="10" fontId="5" fillId="0" borderId="0" xfId="3" applyNumberFormat="1" applyFont="1" applyFill="1" applyBorder="1" applyAlignment="1">
      <alignment horizontal="center" vertical="center" wrapText="1"/>
    </xf>
    <xf numFmtId="170" fontId="5" fillId="0" borderId="0" xfId="3" applyNumberFormat="1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 wrapText="1"/>
    </xf>
    <xf numFmtId="3" fontId="5" fillId="0" borderId="0" xfId="1" applyNumberFormat="1" applyFont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9" fontId="5" fillId="0" borderId="1" xfId="3" applyFont="1" applyFill="1" applyBorder="1" applyAlignment="1">
      <alignment horizontal="center" vertical="center" wrapText="1"/>
    </xf>
    <xf numFmtId="168" fontId="5" fillId="0" borderId="0" xfId="0" applyNumberFormat="1" applyFont="1" applyAlignment="1">
      <alignment vertical="center" wrapText="1"/>
    </xf>
    <xf numFmtId="14" fontId="5" fillId="0" borderId="0" xfId="0" applyNumberFormat="1" applyFont="1" applyAlignment="1">
      <alignment vertical="center" wrapText="1"/>
    </xf>
    <xf numFmtId="169" fontId="5" fillId="0" borderId="0" xfId="0" applyNumberFormat="1" applyFont="1" applyAlignment="1">
      <alignment horizontal="center" vertical="center" wrapText="1"/>
    </xf>
    <xf numFmtId="17" fontId="4" fillId="0" borderId="0" xfId="0" applyNumberFormat="1" applyFont="1" applyAlignment="1">
      <alignment horizontal="center" vertical="center" wrapText="1"/>
    </xf>
    <xf numFmtId="8" fontId="4" fillId="0" borderId="1" xfId="0" applyNumberFormat="1" applyFont="1" applyBorder="1" applyAlignment="1">
      <alignment horizontal="center" vertical="center" wrapText="1"/>
    </xf>
    <xf numFmtId="8" fontId="4" fillId="0" borderId="0" xfId="0" applyNumberFormat="1" applyFont="1" applyAlignment="1">
      <alignment horizontal="center" vertical="center" wrapText="1"/>
    </xf>
    <xf numFmtId="10" fontId="4" fillId="0" borderId="0" xfId="0" applyNumberFormat="1" applyFont="1" applyAlignment="1">
      <alignment horizontal="center" vertical="center" wrapText="1"/>
    </xf>
    <xf numFmtId="17" fontId="5" fillId="0" borderId="0" xfId="0" applyNumberFormat="1" applyFont="1" applyAlignment="1">
      <alignment horizontal="center" vertical="center" wrapText="1"/>
    </xf>
    <xf numFmtId="8" fontId="5" fillId="0" borderId="1" xfId="0" quotePrefix="1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3" fontId="7" fillId="0" borderId="0" xfId="1" applyNumberFormat="1" applyFont="1" applyFill="1" applyAlignment="1">
      <alignment horizontal="center" vertical="center" wrapText="1"/>
    </xf>
    <xf numFmtId="6" fontId="5" fillId="0" borderId="0" xfId="0" applyNumberFormat="1" applyFont="1" applyAlignment="1">
      <alignment horizontal="center" vertical="center" wrapText="1"/>
    </xf>
    <xf numFmtId="9" fontId="5" fillId="0" borderId="0" xfId="3" applyFont="1" applyFill="1" applyBorder="1" applyAlignment="1">
      <alignment horizontal="center" vertical="center" wrapText="1"/>
    </xf>
    <xf numFmtId="9" fontId="5" fillId="3" borderId="0" xfId="3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9" fontId="5" fillId="0" borderId="0" xfId="0" applyNumberFormat="1" applyFont="1" applyAlignment="1">
      <alignment horizontal="center" vertical="center" wrapText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5F473-F6C2-491A-BFD8-0850B76F5DC5}">
  <dimension ref="A1:AH477"/>
  <sheetViews>
    <sheetView tabSelected="1" zoomScale="80" zoomScaleNormal="80" workbookViewId="0">
      <pane ySplit="1" topLeftCell="A2" activePane="bottomLeft" state="frozen"/>
      <selection pane="bottomLeft" activeCell="AC14" sqref="AC14"/>
    </sheetView>
  </sheetViews>
  <sheetFormatPr defaultColWidth="21.5546875" defaultRowHeight="14.4" x14ac:dyDescent="0.3"/>
  <cols>
    <col min="1" max="15" width="21.5546875" style="8"/>
    <col min="16" max="16" width="21.5546875" style="18"/>
    <col min="17" max="19" width="21.5546875" style="8"/>
    <col min="20" max="20" width="21.5546875" style="18"/>
    <col min="21" max="21" width="21.5546875" style="8"/>
    <col min="22" max="22" width="21.5546875" style="18"/>
    <col min="23" max="26" width="21.5546875" style="8"/>
    <col min="27" max="27" width="21.5546875" style="18"/>
    <col min="28" max="29" width="21.5546875" style="8"/>
    <col min="30" max="30" width="21.5546875" style="18"/>
    <col min="31" max="16384" width="21.5546875" style="8"/>
  </cols>
  <sheetData>
    <row r="1" spans="1:34" s="6" customFormat="1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1347</v>
      </c>
      <c r="K1" s="1" t="s">
        <v>9</v>
      </c>
      <c r="L1" s="1" t="s">
        <v>10</v>
      </c>
      <c r="M1" s="2" t="s">
        <v>11</v>
      </c>
      <c r="N1" s="2" t="s">
        <v>12</v>
      </c>
      <c r="O1" s="1" t="s">
        <v>13</v>
      </c>
      <c r="P1" s="3" t="s">
        <v>14</v>
      </c>
      <c r="Q1" s="1" t="s">
        <v>15</v>
      </c>
      <c r="R1" s="1" t="s">
        <v>16</v>
      </c>
      <c r="S1" s="1" t="s">
        <v>17</v>
      </c>
      <c r="T1" s="4" t="s">
        <v>18</v>
      </c>
      <c r="U1" s="5" t="s">
        <v>19</v>
      </c>
      <c r="V1" s="3" t="s">
        <v>20</v>
      </c>
      <c r="W1" s="1" t="s">
        <v>21</v>
      </c>
      <c r="X1" s="1" t="s">
        <v>22</v>
      </c>
      <c r="Y1" s="1" t="s">
        <v>23</v>
      </c>
      <c r="Z1" s="1" t="s">
        <v>1338</v>
      </c>
      <c r="AA1" s="3" t="s">
        <v>25</v>
      </c>
      <c r="AB1" s="1" t="s">
        <v>26</v>
      </c>
      <c r="AC1" s="1" t="s">
        <v>27</v>
      </c>
      <c r="AD1" s="3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s="14" customFormat="1" ht="57.6" x14ac:dyDescent="0.3">
      <c r="A2" s="19">
        <v>44075</v>
      </c>
      <c r="B2" s="14">
        <v>84.51</v>
      </c>
      <c r="C2" s="14" t="s">
        <v>128</v>
      </c>
      <c r="D2" s="14" t="s">
        <v>227</v>
      </c>
      <c r="E2" s="14" t="s">
        <v>103</v>
      </c>
      <c r="F2" s="14" t="s">
        <v>37</v>
      </c>
      <c r="G2" s="14" t="s">
        <v>38</v>
      </c>
      <c r="H2" s="20">
        <v>7217</v>
      </c>
      <c r="I2" s="14" t="s">
        <v>74</v>
      </c>
      <c r="J2" s="14" t="s">
        <v>1348</v>
      </c>
      <c r="K2" s="21"/>
      <c r="L2" s="19">
        <v>44136</v>
      </c>
      <c r="M2" s="19">
        <v>46904</v>
      </c>
      <c r="N2" s="19"/>
      <c r="O2" s="14">
        <v>91</v>
      </c>
      <c r="P2" s="22">
        <v>22</v>
      </c>
      <c r="Q2" s="10">
        <v>12.28</v>
      </c>
      <c r="R2" s="10">
        <f>P2+Q2</f>
        <v>34.28</v>
      </c>
      <c r="S2" s="11">
        <v>0.03</v>
      </c>
      <c r="T2" s="12">
        <v>40</v>
      </c>
      <c r="U2" s="10">
        <f t="shared" ref="U2:U65" si="0">T2/(O2/12)</f>
        <v>5.2747252747252746</v>
      </c>
      <c r="V2" s="26">
        <v>7</v>
      </c>
      <c r="W2" s="14" t="s">
        <v>169</v>
      </c>
      <c r="X2" s="15">
        <f t="shared" ref="X2:X33" si="1">(V2/12)*R2</f>
        <v>19.99666666666667</v>
      </c>
      <c r="Y2" s="16">
        <f t="shared" ref="Y2:Y65" si="2">V2/(O2/12)</f>
        <v>0.92307692307692313</v>
      </c>
      <c r="Z2" s="15">
        <f t="shared" ref="Z2:Z33" si="3">X2/(O2/12)</f>
        <v>2.6369230769230776</v>
      </c>
      <c r="AA2" s="12">
        <f t="shared" ref="AA2:AA7" si="4">X2+T2</f>
        <v>59.99666666666667</v>
      </c>
      <c r="AB2" s="15">
        <f t="shared" ref="AB2:AB33" si="5">AA2/(O2/12)</f>
        <v>7.9116483516483527</v>
      </c>
      <c r="AC2" s="17">
        <f>AB2/P2</f>
        <v>0.35962037962037968</v>
      </c>
      <c r="AD2" s="23" t="s">
        <v>912</v>
      </c>
      <c r="AG2" s="14" t="s">
        <v>913</v>
      </c>
      <c r="AH2" s="14" t="s">
        <v>230</v>
      </c>
    </row>
    <row r="3" spans="1:34" s="14" customFormat="1" ht="57.6" x14ac:dyDescent="0.3">
      <c r="A3" s="19">
        <v>43951</v>
      </c>
      <c r="B3" s="14" t="s">
        <v>1046</v>
      </c>
      <c r="C3" s="14" t="s">
        <v>437</v>
      </c>
      <c r="D3" s="14" t="s">
        <v>622</v>
      </c>
      <c r="E3" s="14" t="s">
        <v>89</v>
      </c>
      <c r="F3" s="14" t="s">
        <v>90</v>
      </c>
      <c r="G3" s="14" t="s">
        <v>64</v>
      </c>
      <c r="H3" s="20">
        <v>14929</v>
      </c>
      <c r="I3" s="14" t="s">
        <v>39</v>
      </c>
      <c r="J3" s="14" t="s">
        <v>291</v>
      </c>
      <c r="K3" s="21"/>
      <c r="L3" s="19">
        <v>43466</v>
      </c>
      <c r="M3" s="19">
        <v>47483</v>
      </c>
      <c r="N3" s="19"/>
      <c r="O3" s="14">
        <v>132</v>
      </c>
      <c r="P3" s="22">
        <v>17</v>
      </c>
      <c r="Q3" s="10">
        <v>11.21</v>
      </c>
      <c r="R3" s="10">
        <f>P3+Q3</f>
        <v>28.21</v>
      </c>
      <c r="S3" s="15">
        <v>0.5</v>
      </c>
      <c r="T3" s="12">
        <v>55</v>
      </c>
      <c r="U3" s="10">
        <f>T3/(O3/12)</f>
        <v>5</v>
      </c>
      <c r="V3" s="26">
        <v>12</v>
      </c>
      <c r="W3" s="14" t="s">
        <v>40</v>
      </c>
      <c r="X3" s="15">
        <f>(V3/12)*R3</f>
        <v>28.21</v>
      </c>
      <c r="Y3" s="16">
        <f t="shared" si="2"/>
        <v>1.0909090909090908</v>
      </c>
      <c r="Z3" s="15">
        <f t="shared" si="3"/>
        <v>2.5645454545454545</v>
      </c>
      <c r="AA3" s="12">
        <f t="shared" si="4"/>
        <v>83.210000000000008</v>
      </c>
      <c r="AB3" s="15">
        <f t="shared" si="5"/>
        <v>7.5645454545454553</v>
      </c>
      <c r="AC3" s="17">
        <f>AB3/P3</f>
        <v>0.44497326203208559</v>
      </c>
      <c r="AD3" s="23" t="s">
        <v>439</v>
      </c>
      <c r="AE3" s="8" t="s">
        <v>91</v>
      </c>
      <c r="AF3" s="14" t="s">
        <v>560</v>
      </c>
      <c r="AG3" s="14" t="s">
        <v>1047</v>
      </c>
      <c r="AH3" s="14" t="s">
        <v>1048</v>
      </c>
    </row>
    <row r="4" spans="1:34" s="14" customFormat="1" x14ac:dyDescent="0.3">
      <c r="A4" s="19">
        <v>45399</v>
      </c>
      <c r="B4" s="14" t="s">
        <v>236</v>
      </c>
      <c r="C4" s="14" t="s">
        <v>237</v>
      </c>
      <c r="D4" s="14" t="s">
        <v>238</v>
      </c>
      <c r="E4" s="14" t="s">
        <v>239</v>
      </c>
      <c r="F4" s="14" t="s">
        <v>37</v>
      </c>
      <c r="G4" s="14" t="s">
        <v>38</v>
      </c>
      <c r="H4" s="27">
        <v>7027</v>
      </c>
      <c r="I4" s="19" t="s">
        <v>74</v>
      </c>
      <c r="J4" s="19" t="s">
        <v>1349</v>
      </c>
      <c r="K4" s="21"/>
      <c r="L4" s="19">
        <v>45383</v>
      </c>
      <c r="M4" s="19">
        <v>46568</v>
      </c>
      <c r="N4" s="19"/>
      <c r="O4" s="14">
        <v>39</v>
      </c>
      <c r="P4" s="12">
        <v>15</v>
      </c>
      <c r="Q4" s="15">
        <v>11.17</v>
      </c>
      <c r="R4" s="10">
        <f>P4+Q4</f>
        <v>26.17</v>
      </c>
      <c r="S4" s="15">
        <v>0.5</v>
      </c>
      <c r="T4" s="12">
        <v>17.5</v>
      </c>
      <c r="U4" s="10">
        <f t="shared" si="0"/>
        <v>5.384615384615385</v>
      </c>
      <c r="V4" s="26">
        <v>4</v>
      </c>
      <c r="W4" s="52" t="s">
        <v>40</v>
      </c>
      <c r="X4" s="15">
        <f t="shared" si="1"/>
        <v>8.7233333333333327</v>
      </c>
      <c r="Y4" s="16">
        <f t="shared" si="2"/>
        <v>1.2307692307692308</v>
      </c>
      <c r="Z4" s="15">
        <f t="shared" si="3"/>
        <v>2.684102564102564</v>
      </c>
      <c r="AA4" s="12">
        <f t="shared" si="4"/>
        <v>26.223333333333333</v>
      </c>
      <c r="AB4" s="15">
        <f t="shared" si="5"/>
        <v>8.0687179487179481</v>
      </c>
      <c r="AC4" s="17">
        <f>AB4/P4</f>
        <v>0.53791452991452993</v>
      </c>
      <c r="AD4" s="23" t="s">
        <v>240</v>
      </c>
      <c r="AE4" s="8" t="s">
        <v>91</v>
      </c>
      <c r="AF4" s="14" t="s">
        <v>116</v>
      </c>
      <c r="AH4" s="14" t="s">
        <v>140</v>
      </c>
    </row>
    <row r="5" spans="1:34" s="14" customFormat="1" ht="28.8" x14ac:dyDescent="0.3">
      <c r="A5" s="19">
        <v>45596</v>
      </c>
      <c r="B5" s="14" t="s">
        <v>174</v>
      </c>
      <c r="C5" s="14" t="s">
        <v>175</v>
      </c>
      <c r="D5" s="14" t="s">
        <v>176</v>
      </c>
      <c r="E5" s="14" t="s">
        <v>62</v>
      </c>
      <c r="F5" s="14" t="s">
        <v>63</v>
      </c>
      <c r="G5" s="14" t="s">
        <v>64</v>
      </c>
      <c r="H5" s="20">
        <v>12909</v>
      </c>
      <c r="I5" s="14" t="s">
        <v>177</v>
      </c>
      <c r="K5" s="57">
        <v>45566</v>
      </c>
      <c r="L5" s="19">
        <v>45627</v>
      </c>
      <c r="M5" s="19">
        <v>48944</v>
      </c>
      <c r="N5" s="19"/>
      <c r="O5" s="14">
        <v>109</v>
      </c>
      <c r="P5" s="23"/>
      <c r="R5" s="15">
        <v>28</v>
      </c>
      <c r="S5" s="15">
        <v>0.5</v>
      </c>
      <c r="T5" s="58">
        <v>10</v>
      </c>
      <c r="U5" s="10">
        <f t="shared" si="0"/>
        <v>1.1009174311926604</v>
      </c>
      <c r="V5" s="26">
        <v>12</v>
      </c>
      <c r="W5" s="14" t="s">
        <v>40</v>
      </c>
      <c r="X5" s="15">
        <f t="shared" si="1"/>
        <v>28</v>
      </c>
      <c r="Y5" s="16">
        <f t="shared" si="2"/>
        <v>1.3211009174311925</v>
      </c>
      <c r="Z5" s="15">
        <f t="shared" si="3"/>
        <v>3.0825688073394493</v>
      </c>
      <c r="AA5" s="12">
        <f t="shared" si="4"/>
        <v>38</v>
      </c>
      <c r="AB5" s="15">
        <f t="shared" si="5"/>
        <v>4.1834862385321099</v>
      </c>
      <c r="AC5" s="40"/>
      <c r="AD5" s="23" t="s">
        <v>178</v>
      </c>
      <c r="AE5" s="14" t="s">
        <v>42</v>
      </c>
      <c r="AF5" s="14" t="s">
        <v>179</v>
      </c>
      <c r="AH5" s="14" t="s">
        <v>180</v>
      </c>
    </row>
    <row r="6" spans="1:34" s="14" customFormat="1" ht="57.6" x14ac:dyDescent="0.3">
      <c r="A6" s="19">
        <v>44980</v>
      </c>
      <c r="B6" s="14" t="s">
        <v>432</v>
      </c>
      <c r="C6" s="14" t="s">
        <v>101</v>
      </c>
      <c r="D6" s="14" t="s">
        <v>102</v>
      </c>
      <c r="E6" s="14" t="s">
        <v>103</v>
      </c>
      <c r="F6" s="14" t="s">
        <v>37</v>
      </c>
      <c r="G6" s="14" t="s">
        <v>38</v>
      </c>
      <c r="H6" s="20">
        <v>26031</v>
      </c>
      <c r="I6" s="14" t="s">
        <v>39</v>
      </c>
      <c r="K6" s="21">
        <v>44562</v>
      </c>
      <c r="L6" s="19">
        <v>45047</v>
      </c>
      <c r="M6" s="19">
        <v>49064</v>
      </c>
      <c r="N6" s="19"/>
      <c r="O6" s="14">
        <v>132</v>
      </c>
      <c r="P6" s="22">
        <v>18.78</v>
      </c>
      <c r="Q6" s="10"/>
      <c r="R6" s="10">
        <f t="shared" ref="R6:R16" si="6">P6+Q6</f>
        <v>18.78</v>
      </c>
      <c r="S6" s="11">
        <v>2.3400000000000001E-2</v>
      </c>
      <c r="T6" s="12">
        <v>35</v>
      </c>
      <c r="U6" s="10">
        <f t="shared" si="0"/>
        <v>3.1818181818181817</v>
      </c>
      <c r="V6" s="26">
        <v>8</v>
      </c>
      <c r="W6" s="14" t="s">
        <v>40</v>
      </c>
      <c r="X6" s="15">
        <f t="shared" si="1"/>
        <v>12.52</v>
      </c>
      <c r="Y6" s="16">
        <f t="shared" si="2"/>
        <v>0.72727272727272729</v>
      </c>
      <c r="Z6" s="15">
        <f t="shared" si="3"/>
        <v>1.1381818181818182</v>
      </c>
      <c r="AA6" s="12">
        <f t="shared" si="4"/>
        <v>47.519999999999996</v>
      </c>
      <c r="AB6" s="15">
        <f t="shared" si="5"/>
        <v>4.3199999999999994</v>
      </c>
      <c r="AC6" s="17">
        <f t="shared" ref="AC6:AC41" si="7">AB6/P6</f>
        <v>0.2300319488817891</v>
      </c>
      <c r="AD6" s="23" t="s">
        <v>224</v>
      </c>
      <c r="AE6" s="8" t="s">
        <v>91</v>
      </c>
      <c r="AF6" s="14" t="s">
        <v>433</v>
      </c>
      <c r="AH6" s="14" t="s">
        <v>387</v>
      </c>
    </row>
    <row r="7" spans="1:34" s="14" customFormat="1" ht="28.8" x14ac:dyDescent="0.3">
      <c r="A7" s="19">
        <v>44302</v>
      </c>
      <c r="B7" s="14" t="s">
        <v>818</v>
      </c>
      <c r="C7" s="14" t="s">
        <v>175</v>
      </c>
      <c r="D7" s="14" t="s">
        <v>176</v>
      </c>
      <c r="E7" s="14" t="s">
        <v>62</v>
      </c>
      <c r="F7" s="14" t="s">
        <v>63</v>
      </c>
      <c r="G7" s="14" t="s">
        <v>64</v>
      </c>
      <c r="H7" s="20">
        <v>6234</v>
      </c>
      <c r="I7" s="14" t="s">
        <v>39</v>
      </c>
      <c r="K7" s="21"/>
      <c r="L7" s="19">
        <v>44409</v>
      </c>
      <c r="M7" s="19">
        <v>47177</v>
      </c>
      <c r="N7" s="19"/>
      <c r="O7" s="14">
        <v>91</v>
      </c>
      <c r="P7" s="22">
        <v>14.7</v>
      </c>
      <c r="Q7" s="10">
        <v>13.3</v>
      </c>
      <c r="R7" s="10">
        <f t="shared" si="6"/>
        <v>28</v>
      </c>
      <c r="S7" s="15">
        <v>0.5</v>
      </c>
      <c r="T7" s="12">
        <v>45</v>
      </c>
      <c r="U7" s="10">
        <f t="shared" si="0"/>
        <v>5.9340659340659343</v>
      </c>
      <c r="V7" s="26">
        <v>7</v>
      </c>
      <c r="W7" s="14" t="s">
        <v>40</v>
      </c>
      <c r="X7" s="15">
        <f t="shared" si="1"/>
        <v>16.333333333333336</v>
      </c>
      <c r="Y7" s="16">
        <f t="shared" si="2"/>
        <v>0.92307692307692313</v>
      </c>
      <c r="Z7" s="15">
        <f t="shared" si="3"/>
        <v>2.1538461538461542</v>
      </c>
      <c r="AA7" s="12">
        <f t="shared" si="4"/>
        <v>61.333333333333336</v>
      </c>
      <c r="AB7" s="15">
        <f t="shared" si="5"/>
        <v>8.0879120879120894</v>
      </c>
      <c r="AC7" s="17">
        <f t="shared" si="7"/>
        <v>0.55019810121850954</v>
      </c>
      <c r="AD7" s="23" t="s">
        <v>178</v>
      </c>
      <c r="AE7" s="14" t="s">
        <v>682</v>
      </c>
      <c r="AF7" s="14" t="s">
        <v>819</v>
      </c>
      <c r="AH7" s="14" t="s">
        <v>507</v>
      </c>
    </row>
    <row r="8" spans="1:34" s="14" customFormat="1" ht="28.8" x14ac:dyDescent="0.3">
      <c r="A8" s="19">
        <v>43951</v>
      </c>
      <c r="B8" s="14" t="s">
        <v>1092</v>
      </c>
      <c r="C8" s="14" t="s">
        <v>1093</v>
      </c>
      <c r="D8" s="14" t="s">
        <v>1094</v>
      </c>
      <c r="E8" s="14" t="s">
        <v>103</v>
      </c>
      <c r="F8" s="14" t="s">
        <v>37</v>
      </c>
      <c r="G8" s="14" t="s">
        <v>38</v>
      </c>
      <c r="H8" s="20">
        <v>16521</v>
      </c>
      <c r="I8" s="14" t="s">
        <v>39</v>
      </c>
      <c r="K8" s="21"/>
      <c r="L8" s="19">
        <v>43831</v>
      </c>
      <c r="M8" s="19">
        <v>47787</v>
      </c>
      <c r="N8" s="19"/>
      <c r="O8" s="14">
        <v>130</v>
      </c>
      <c r="P8" s="22">
        <v>18.5</v>
      </c>
      <c r="Q8" s="10">
        <v>14.98</v>
      </c>
      <c r="R8" s="10">
        <f t="shared" si="6"/>
        <v>33.480000000000004</v>
      </c>
      <c r="S8" s="15">
        <v>0.5</v>
      </c>
      <c r="T8" s="12">
        <v>80</v>
      </c>
      <c r="U8" s="10">
        <f t="shared" si="0"/>
        <v>7.3846153846153841</v>
      </c>
      <c r="V8" s="26">
        <v>6</v>
      </c>
      <c r="W8" s="14" t="s">
        <v>40</v>
      </c>
      <c r="X8" s="15">
        <f t="shared" si="1"/>
        <v>16.740000000000002</v>
      </c>
      <c r="Y8" s="16">
        <f t="shared" si="2"/>
        <v>0.55384615384615377</v>
      </c>
      <c r="Z8" s="15">
        <f t="shared" si="3"/>
        <v>1.5452307692307694</v>
      </c>
      <c r="AA8" s="12">
        <f>T8+X8</f>
        <v>96.740000000000009</v>
      </c>
      <c r="AB8" s="15">
        <f t="shared" si="5"/>
        <v>8.9298461538461549</v>
      </c>
      <c r="AC8" s="17">
        <f t="shared" si="7"/>
        <v>0.48269438669438675</v>
      </c>
      <c r="AD8" s="23" t="s">
        <v>699</v>
      </c>
      <c r="AE8" s="14" t="s">
        <v>934</v>
      </c>
      <c r="AF8" s="14" t="s">
        <v>1095</v>
      </c>
      <c r="AH8" s="14" t="s">
        <v>1038</v>
      </c>
    </row>
    <row r="9" spans="1:34" s="14" customFormat="1" ht="43.2" x14ac:dyDescent="0.3">
      <c r="A9" s="19">
        <v>44144</v>
      </c>
      <c r="B9" s="14" t="s">
        <v>885</v>
      </c>
      <c r="C9" s="14" t="s">
        <v>886</v>
      </c>
      <c r="D9" s="14" t="s">
        <v>887</v>
      </c>
      <c r="E9" s="14" t="s">
        <v>408</v>
      </c>
      <c r="F9" s="14" t="s">
        <v>90</v>
      </c>
      <c r="G9" s="14" t="s">
        <v>409</v>
      </c>
      <c r="H9" s="20">
        <v>12367</v>
      </c>
      <c r="I9" s="14" t="s">
        <v>39</v>
      </c>
      <c r="K9" s="21"/>
      <c r="L9" s="19">
        <v>44166</v>
      </c>
      <c r="M9" s="19">
        <v>48182</v>
      </c>
      <c r="N9" s="19"/>
      <c r="O9" s="14">
        <v>132</v>
      </c>
      <c r="P9" s="22">
        <v>8.4600000000000009</v>
      </c>
      <c r="Q9" s="10">
        <v>10.039999999999999</v>
      </c>
      <c r="R9" s="10">
        <f t="shared" si="6"/>
        <v>18.5</v>
      </c>
      <c r="S9" s="11">
        <v>0.03</v>
      </c>
      <c r="T9" s="12">
        <v>58</v>
      </c>
      <c r="U9" s="10">
        <f t="shared" si="0"/>
        <v>5.2727272727272725</v>
      </c>
      <c r="V9" s="26">
        <v>12</v>
      </c>
      <c r="W9" s="14" t="s">
        <v>40</v>
      </c>
      <c r="X9" s="15">
        <f t="shared" si="1"/>
        <v>18.5</v>
      </c>
      <c r="Y9" s="16">
        <f t="shared" si="2"/>
        <v>1.0909090909090908</v>
      </c>
      <c r="Z9" s="15">
        <f t="shared" si="3"/>
        <v>1.6818181818181819</v>
      </c>
      <c r="AA9" s="12">
        <f>X9+T9</f>
        <v>76.5</v>
      </c>
      <c r="AB9" s="15">
        <f t="shared" si="5"/>
        <v>6.9545454545454541</v>
      </c>
      <c r="AC9" s="17">
        <f t="shared" si="7"/>
        <v>0.82205029013539643</v>
      </c>
      <c r="AD9" s="23" t="s">
        <v>216</v>
      </c>
      <c r="AG9" s="14" t="s">
        <v>888</v>
      </c>
      <c r="AH9" s="14" t="s">
        <v>230</v>
      </c>
    </row>
    <row r="10" spans="1:34" s="14" customFormat="1" ht="28.8" x14ac:dyDescent="0.3">
      <c r="A10" s="19">
        <v>43951</v>
      </c>
      <c r="B10" s="14" t="s">
        <v>954</v>
      </c>
      <c r="C10" s="14" t="s">
        <v>955</v>
      </c>
      <c r="D10" s="14" t="s">
        <v>956</v>
      </c>
      <c r="E10" s="14" t="s">
        <v>62</v>
      </c>
      <c r="F10" s="14" t="s">
        <v>63</v>
      </c>
      <c r="G10" s="14" t="s">
        <v>64</v>
      </c>
      <c r="H10" s="20">
        <v>81272</v>
      </c>
      <c r="I10" s="14" t="s">
        <v>74</v>
      </c>
      <c r="K10" s="21">
        <v>42583</v>
      </c>
      <c r="L10" s="19">
        <v>44105</v>
      </c>
      <c r="M10" s="19">
        <v>46173</v>
      </c>
      <c r="N10" s="19"/>
      <c r="O10" s="14">
        <v>68</v>
      </c>
      <c r="P10" s="22">
        <v>17.850000000000001</v>
      </c>
      <c r="Q10" s="10">
        <v>14.71</v>
      </c>
      <c r="R10" s="10">
        <f t="shared" si="6"/>
        <v>32.56</v>
      </c>
      <c r="S10" s="15">
        <v>0.5</v>
      </c>
      <c r="T10" s="12">
        <v>52</v>
      </c>
      <c r="U10" s="10">
        <f t="shared" si="0"/>
        <v>9.1764705882352935</v>
      </c>
      <c r="V10" s="13">
        <v>0</v>
      </c>
      <c r="X10" s="15">
        <f t="shared" si="1"/>
        <v>0</v>
      </c>
      <c r="Y10" s="16">
        <f t="shared" si="2"/>
        <v>0</v>
      </c>
      <c r="Z10" s="15">
        <f t="shared" si="3"/>
        <v>0</v>
      </c>
      <c r="AA10" s="12">
        <f>X10+T10</f>
        <v>52</v>
      </c>
      <c r="AB10" s="15">
        <f t="shared" si="5"/>
        <v>9.1764705882352935</v>
      </c>
      <c r="AC10" s="17">
        <f t="shared" si="7"/>
        <v>0.51408798813643097</v>
      </c>
      <c r="AD10" s="23" t="s">
        <v>957</v>
      </c>
      <c r="AE10" s="8" t="s">
        <v>91</v>
      </c>
      <c r="AF10" s="14" t="s">
        <v>958</v>
      </c>
      <c r="AH10" s="14" t="s">
        <v>116</v>
      </c>
    </row>
    <row r="11" spans="1:34" s="14" customFormat="1" ht="28.8" x14ac:dyDescent="0.3">
      <c r="A11" s="19">
        <v>44952</v>
      </c>
      <c r="B11" s="14" t="s">
        <v>467</v>
      </c>
      <c r="C11" s="14" t="s">
        <v>87</v>
      </c>
      <c r="D11" s="14" t="s">
        <v>316</v>
      </c>
      <c r="E11" s="14" t="s">
        <v>89</v>
      </c>
      <c r="F11" s="14" t="s">
        <v>90</v>
      </c>
      <c r="G11" s="14" t="s">
        <v>64</v>
      </c>
      <c r="H11" s="20">
        <v>16905</v>
      </c>
      <c r="I11" s="14" t="s">
        <v>39</v>
      </c>
      <c r="K11" s="21"/>
      <c r="L11" s="19">
        <v>44958</v>
      </c>
      <c r="M11" s="19">
        <v>47149</v>
      </c>
      <c r="N11" s="19"/>
      <c r="O11" s="14">
        <v>72</v>
      </c>
      <c r="P11" s="22">
        <v>15.75</v>
      </c>
      <c r="Q11" s="10">
        <v>14.28</v>
      </c>
      <c r="R11" s="10">
        <f t="shared" si="6"/>
        <v>30.03</v>
      </c>
      <c r="S11" s="15">
        <v>0.5</v>
      </c>
      <c r="T11" s="12">
        <v>65</v>
      </c>
      <c r="U11" s="10">
        <f t="shared" si="0"/>
        <v>10.833333333333334</v>
      </c>
      <c r="V11" s="13">
        <v>0</v>
      </c>
      <c r="X11" s="15">
        <f t="shared" si="1"/>
        <v>0</v>
      </c>
      <c r="Y11" s="16">
        <f t="shared" si="2"/>
        <v>0</v>
      </c>
      <c r="Z11" s="15">
        <f t="shared" si="3"/>
        <v>0</v>
      </c>
      <c r="AA11" s="12">
        <f>X11+T11</f>
        <v>65</v>
      </c>
      <c r="AB11" s="15">
        <f t="shared" si="5"/>
        <v>10.833333333333334</v>
      </c>
      <c r="AC11" s="17">
        <f t="shared" si="7"/>
        <v>0.6878306878306879</v>
      </c>
      <c r="AD11" s="23" t="s">
        <v>464</v>
      </c>
      <c r="AE11" s="14" t="s">
        <v>42</v>
      </c>
      <c r="AF11" s="14" t="s">
        <v>468</v>
      </c>
      <c r="AH11" s="14" t="s">
        <v>466</v>
      </c>
    </row>
    <row r="12" spans="1:34" s="14" customFormat="1" ht="43.2" x14ac:dyDescent="0.3">
      <c r="A12" s="19">
        <v>45279</v>
      </c>
      <c r="B12" s="14" t="s">
        <v>296</v>
      </c>
      <c r="C12" s="14" t="s">
        <v>297</v>
      </c>
      <c r="D12" s="14" t="s">
        <v>298</v>
      </c>
      <c r="E12" s="14" t="s">
        <v>36</v>
      </c>
      <c r="F12" s="14" t="s">
        <v>37</v>
      </c>
      <c r="G12" s="14" t="s">
        <v>38</v>
      </c>
      <c r="H12" s="20">
        <v>18682</v>
      </c>
      <c r="I12" s="14" t="s">
        <v>74</v>
      </c>
      <c r="K12" s="21">
        <v>45200</v>
      </c>
      <c r="L12" s="19">
        <v>45170</v>
      </c>
      <c r="M12" s="19">
        <v>47542</v>
      </c>
      <c r="N12" s="19"/>
      <c r="O12" s="14">
        <v>78</v>
      </c>
      <c r="P12" s="12">
        <v>19</v>
      </c>
      <c r="Q12" s="15">
        <v>11.25</v>
      </c>
      <c r="R12" s="10">
        <f t="shared" si="6"/>
        <v>30.25</v>
      </c>
      <c r="S12" s="15">
        <v>0.5</v>
      </c>
      <c r="T12" s="12">
        <v>12</v>
      </c>
      <c r="U12" s="10">
        <f t="shared" si="0"/>
        <v>1.8461538461538463</v>
      </c>
      <c r="V12" s="26">
        <v>6</v>
      </c>
      <c r="W12" s="14" t="s">
        <v>40</v>
      </c>
      <c r="X12" s="15">
        <f t="shared" si="1"/>
        <v>15.125</v>
      </c>
      <c r="Y12" s="16">
        <f t="shared" si="2"/>
        <v>0.92307692307692313</v>
      </c>
      <c r="Z12" s="15">
        <f t="shared" si="3"/>
        <v>2.3269230769230771</v>
      </c>
      <c r="AA12" s="12">
        <f>X12+T12</f>
        <v>27.125</v>
      </c>
      <c r="AB12" s="15">
        <f t="shared" si="5"/>
        <v>4.1730769230769234</v>
      </c>
      <c r="AC12" s="17">
        <f t="shared" si="7"/>
        <v>0.21963562753036439</v>
      </c>
      <c r="AD12" s="23"/>
      <c r="AE12" s="14" t="s">
        <v>186</v>
      </c>
    </row>
    <row r="13" spans="1:34" s="14" customFormat="1" ht="28.8" x14ac:dyDescent="0.3">
      <c r="A13" s="19">
        <v>44237</v>
      </c>
      <c r="B13" s="14" t="s">
        <v>852</v>
      </c>
      <c r="C13" s="14" t="s">
        <v>853</v>
      </c>
      <c r="D13" s="14" t="s">
        <v>854</v>
      </c>
      <c r="E13" s="14" t="s">
        <v>62</v>
      </c>
      <c r="F13" s="14" t="s">
        <v>63</v>
      </c>
      <c r="G13" s="14" t="s">
        <v>64</v>
      </c>
      <c r="H13" s="20">
        <v>12546</v>
      </c>
      <c r="I13" s="14" t="s">
        <v>74</v>
      </c>
      <c r="K13" s="21"/>
      <c r="L13" s="19">
        <v>44501</v>
      </c>
      <c r="M13" s="19">
        <v>46477</v>
      </c>
      <c r="N13" s="19"/>
      <c r="O13" s="14">
        <v>65</v>
      </c>
      <c r="P13" s="22">
        <v>17</v>
      </c>
      <c r="Q13" s="10">
        <v>16.309999999999999</v>
      </c>
      <c r="R13" s="10">
        <f t="shared" si="6"/>
        <v>33.31</v>
      </c>
      <c r="S13" s="15">
        <v>0.5</v>
      </c>
      <c r="T13" s="12">
        <v>20</v>
      </c>
      <c r="U13" s="10">
        <f t="shared" si="0"/>
        <v>3.6923076923076921</v>
      </c>
      <c r="V13" s="26">
        <v>6</v>
      </c>
      <c r="W13" s="14" t="s">
        <v>169</v>
      </c>
      <c r="X13" s="15">
        <f t="shared" si="1"/>
        <v>16.655000000000001</v>
      </c>
      <c r="Y13" s="16">
        <f t="shared" si="2"/>
        <v>1.1076923076923075</v>
      </c>
      <c r="Z13" s="15">
        <f t="shared" si="3"/>
        <v>3.0747692307692307</v>
      </c>
      <c r="AA13" s="12">
        <f>T13+X13</f>
        <v>36.655000000000001</v>
      </c>
      <c r="AB13" s="15">
        <f t="shared" si="5"/>
        <v>6.7670769230769228</v>
      </c>
      <c r="AC13" s="17">
        <f t="shared" si="7"/>
        <v>0.3980633484162896</v>
      </c>
      <c r="AD13" s="23" t="s">
        <v>833</v>
      </c>
      <c r="AE13" s="8" t="s">
        <v>91</v>
      </c>
      <c r="AF13" s="14" t="s">
        <v>116</v>
      </c>
      <c r="AH13" s="14" t="s">
        <v>116</v>
      </c>
    </row>
    <row r="14" spans="1:34" s="14" customFormat="1" x14ac:dyDescent="0.3">
      <c r="A14" s="19">
        <v>44987</v>
      </c>
      <c r="B14" s="14" t="s">
        <v>368</v>
      </c>
      <c r="C14" s="14" t="s">
        <v>118</v>
      </c>
      <c r="D14" s="14" t="s">
        <v>119</v>
      </c>
      <c r="E14" s="14" t="s">
        <v>120</v>
      </c>
      <c r="F14" s="14" t="s">
        <v>90</v>
      </c>
      <c r="G14" s="14" t="s">
        <v>55</v>
      </c>
      <c r="H14" s="20">
        <v>56808</v>
      </c>
      <c r="I14" s="14" t="s">
        <v>39</v>
      </c>
      <c r="K14" s="21"/>
      <c r="L14" s="19"/>
      <c r="M14" s="19"/>
      <c r="N14" s="19"/>
      <c r="O14" s="14">
        <v>135</v>
      </c>
      <c r="P14" s="22">
        <v>12</v>
      </c>
      <c r="Q14" s="10"/>
      <c r="R14" s="10">
        <f t="shared" si="6"/>
        <v>12</v>
      </c>
      <c r="S14" s="15">
        <v>0.5</v>
      </c>
      <c r="T14" s="12">
        <v>90</v>
      </c>
      <c r="U14" s="10">
        <f t="shared" si="0"/>
        <v>8</v>
      </c>
      <c r="V14" s="26">
        <v>15</v>
      </c>
      <c r="W14" s="14" t="s">
        <v>40</v>
      </c>
      <c r="X14" s="15">
        <f t="shared" si="1"/>
        <v>15</v>
      </c>
      <c r="Y14" s="16">
        <f t="shared" si="2"/>
        <v>1.3333333333333333</v>
      </c>
      <c r="Z14" s="15">
        <f t="shared" si="3"/>
        <v>1.3333333333333333</v>
      </c>
      <c r="AA14" s="12">
        <f>X14+T14</f>
        <v>105</v>
      </c>
      <c r="AB14" s="15">
        <f t="shared" si="5"/>
        <v>9.3333333333333339</v>
      </c>
      <c r="AC14" s="17">
        <f t="shared" si="7"/>
        <v>0.77777777777777779</v>
      </c>
      <c r="AD14" s="23" t="s">
        <v>369</v>
      </c>
      <c r="AE14" s="14" t="s">
        <v>98</v>
      </c>
      <c r="AF14" s="14" t="s">
        <v>370</v>
      </c>
    </row>
    <row r="15" spans="1:34" s="14" customFormat="1" ht="72" x14ac:dyDescent="0.3">
      <c r="A15" s="19">
        <v>44833</v>
      </c>
      <c r="B15" s="14" t="s">
        <v>563</v>
      </c>
      <c r="C15" s="14" t="s">
        <v>542</v>
      </c>
      <c r="D15" s="14" t="s">
        <v>543</v>
      </c>
      <c r="E15" s="14" t="s">
        <v>120</v>
      </c>
      <c r="F15" s="14" t="s">
        <v>90</v>
      </c>
      <c r="G15" s="14" t="s">
        <v>55</v>
      </c>
      <c r="H15" s="20">
        <v>32392</v>
      </c>
      <c r="I15" s="14" t="s">
        <v>212</v>
      </c>
      <c r="K15" s="21"/>
      <c r="L15" s="19">
        <v>44743</v>
      </c>
      <c r="M15" s="19">
        <v>46691</v>
      </c>
      <c r="N15" s="19"/>
      <c r="O15" s="14">
        <v>64</v>
      </c>
      <c r="P15" s="22"/>
      <c r="Q15" s="10"/>
      <c r="R15" s="10">
        <f t="shared" si="6"/>
        <v>0</v>
      </c>
      <c r="S15" s="15">
        <v>0.5</v>
      </c>
      <c r="T15" s="12">
        <v>0</v>
      </c>
      <c r="U15" s="10">
        <f t="shared" si="0"/>
        <v>0</v>
      </c>
      <c r="V15" s="26">
        <v>1</v>
      </c>
      <c r="W15" s="14" t="s">
        <v>40</v>
      </c>
      <c r="X15" s="15">
        <f t="shared" si="1"/>
        <v>0</v>
      </c>
      <c r="Y15" s="16">
        <f t="shared" si="2"/>
        <v>0.1875</v>
      </c>
      <c r="Z15" s="15">
        <f t="shared" si="3"/>
        <v>0</v>
      </c>
      <c r="AA15" s="12">
        <f>T15+X15</f>
        <v>0</v>
      </c>
      <c r="AB15" s="15">
        <f t="shared" si="5"/>
        <v>0</v>
      </c>
      <c r="AC15" s="17" t="e">
        <f t="shared" si="7"/>
        <v>#DIV/0!</v>
      </c>
      <c r="AD15" s="23" t="s">
        <v>564</v>
      </c>
      <c r="AG15" s="14" t="s">
        <v>565</v>
      </c>
      <c r="AH15" s="14" t="s">
        <v>554</v>
      </c>
    </row>
    <row r="16" spans="1:34" s="14" customFormat="1" ht="28.8" x14ac:dyDescent="0.3">
      <c r="A16" s="19">
        <v>43951</v>
      </c>
      <c r="B16" s="14" t="s">
        <v>1037</v>
      </c>
      <c r="C16" s="14" t="s">
        <v>101</v>
      </c>
      <c r="D16" s="14" t="s">
        <v>102</v>
      </c>
      <c r="E16" s="14" t="s">
        <v>103</v>
      </c>
      <c r="F16" s="14" t="s">
        <v>37</v>
      </c>
      <c r="G16" s="14" t="s">
        <v>38</v>
      </c>
      <c r="H16" s="20">
        <v>8350</v>
      </c>
      <c r="I16" s="14" t="s">
        <v>39</v>
      </c>
      <c r="K16" s="21"/>
      <c r="L16" s="19">
        <v>43617</v>
      </c>
      <c r="M16" s="19">
        <v>47269</v>
      </c>
      <c r="N16" s="19"/>
      <c r="O16" s="14">
        <v>120</v>
      </c>
      <c r="P16" s="22">
        <v>21</v>
      </c>
      <c r="Q16" s="10">
        <v>13.03</v>
      </c>
      <c r="R16" s="10">
        <f t="shared" si="6"/>
        <v>34.03</v>
      </c>
      <c r="S16" s="15">
        <v>0.5</v>
      </c>
      <c r="T16" s="12">
        <v>60</v>
      </c>
      <c r="U16" s="10">
        <f t="shared" si="0"/>
        <v>6</v>
      </c>
      <c r="V16" s="26">
        <v>7</v>
      </c>
      <c r="W16" s="14" t="s">
        <v>40</v>
      </c>
      <c r="X16" s="15">
        <f t="shared" si="1"/>
        <v>19.850833333333334</v>
      </c>
      <c r="Y16" s="16">
        <f t="shared" si="2"/>
        <v>0.7</v>
      </c>
      <c r="Z16" s="15">
        <f t="shared" si="3"/>
        <v>1.9850833333333333</v>
      </c>
      <c r="AA16" s="12">
        <f>X16+T16</f>
        <v>79.850833333333327</v>
      </c>
      <c r="AB16" s="15">
        <f t="shared" si="5"/>
        <v>7.9850833333333329</v>
      </c>
      <c r="AC16" s="17">
        <f t="shared" si="7"/>
        <v>0.38024206349206346</v>
      </c>
      <c r="AD16" s="23" t="s">
        <v>699</v>
      </c>
      <c r="AH16" s="14" t="s">
        <v>1038</v>
      </c>
    </row>
    <row r="17" spans="1:34" s="14" customFormat="1" ht="43.2" x14ac:dyDescent="0.3">
      <c r="A17" s="19">
        <v>44875</v>
      </c>
      <c r="B17" s="14" t="s">
        <v>530</v>
      </c>
      <c r="C17" s="14" t="s">
        <v>531</v>
      </c>
      <c r="D17" s="14" t="s">
        <v>532</v>
      </c>
      <c r="E17" s="14" t="s">
        <v>36</v>
      </c>
      <c r="F17" s="14" t="s">
        <v>37</v>
      </c>
      <c r="G17" s="14" t="s">
        <v>38</v>
      </c>
      <c r="H17" s="20">
        <v>3403</v>
      </c>
      <c r="I17" s="14" t="s">
        <v>39</v>
      </c>
      <c r="K17" s="57">
        <v>44866</v>
      </c>
      <c r="L17" s="19">
        <v>45047</v>
      </c>
      <c r="M17" s="19">
        <v>48699</v>
      </c>
      <c r="N17" s="19"/>
      <c r="O17" s="14">
        <v>120</v>
      </c>
      <c r="P17" s="23"/>
      <c r="R17" s="15">
        <v>48.5</v>
      </c>
      <c r="S17" s="11">
        <v>2.5000000000000001E-2</v>
      </c>
      <c r="T17" s="58">
        <v>90</v>
      </c>
      <c r="U17" s="10">
        <f t="shared" si="0"/>
        <v>9</v>
      </c>
      <c r="V17" s="13">
        <v>0</v>
      </c>
      <c r="W17" s="14" t="s">
        <v>40</v>
      </c>
      <c r="X17" s="15">
        <f t="shared" si="1"/>
        <v>0</v>
      </c>
      <c r="Y17" s="16">
        <f t="shared" si="2"/>
        <v>0</v>
      </c>
      <c r="Z17" s="15">
        <f t="shared" si="3"/>
        <v>0</v>
      </c>
      <c r="AA17" s="12">
        <f>X17+T17</f>
        <v>90</v>
      </c>
      <c r="AB17" s="15">
        <f t="shared" si="5"/>
        <v>9</v>
      </c>
      <c r="AC17" s="17" t="e">
        <f t="shared" si="7"/>
        <v>#DIV/0!</v>
      </c>
      <c r="AD17" s="23" t="s">
        <v>533</v>
      </c>
      <c r="AE17" s="8" t="s">
        <v>91</v>
      </c>
      <c r="AF17" s="14" t="s">
        <v>56</v>
      </c>
      <c r="AH17" s="14" t="s">
        <v>58</v>
      </c>
    </row>
    <row r="18" spans="1:34" s="14" customFormat="1" ht="28.8" x14ac:dyDescent="0.3">
      <c r="A18" s="19">
        <v>44507</v>
      </c>
      <c r="B18" s="14" t="s">
        <v>740</v>
      </c>
      <c r="C18" s="14" t="s">
        <v>741</v>
      </c>
      <c r="D18" s="14" t="s">
        <v>373</v>
      </c>
      <c r="E18" s="14" t="s">
        <v>62</v>
      </c>
      <c r="F18" s="14" t="s">
        <v>63</v>
      </c>
      <c r="G18" s="14" t="s">
        <v>64</v>
      </c>
      <c r="H18" s="20">
        <v>6397</v>
      </c>
      <c r="I18" s="14" t="s">
        <v>74</v>
      </c>
      <c r="K18" s="21">
        <v>43891</v>
      </c>
      <c r="L18" s="19">
        <v>43952</v>
      </c>
      <c r="M18" s="19">
        <v>46326</v>
      </c>
      <c r="N18" s="19"/>
      <c r="O18" s="14">
        <v>78</v>
      </c>
      <c r="P18" s="22">
        <v>16</v>
      </c>
      <c r="Q18" s="10">
        <v>13.75</v>
      </c>
      <c r="R18" s="10">
        <f t="shared" ref="R18:R26" si="8">P18+Q18</f>
        <v>29.75</v>
      </c>
      <c r="S18" s="11">
        <v>0.03</v>
      </c>
      <c r="T18" s="12">
        <v>28</v>
      </c>
      <c r="U18" s="10">
        <f t="shared" si="0"/>
        <v>4.3076923076923075</v>
      </c>
      <c r="V18" s="26">
        <v>6</v>
      </c>
      <c r="W18" s="14" t="s">
        <v>40</v>
      </c>
      <c r="X18" s="15">
        <f t="shared" si="1"/>
        <v>14.875</v>
      </c>
      <c r="Y18" s="16">
        <f t="shared" si="2"/>
        <v>0.92307692307692313</v>
      </c>
      <c r="Z18" s="15">
        <f t="shared" si="3"/>
        <v>2.2884615384615383</v>
      </c>
      <c r="AA18" s="12">
        <f>T18+X18</f>
        <v>42.875</v>
      </c>
      <c r="AB18" s="15">
        <f t="shared" si="5"/>
        <v>6.5961538461538458</v>
      </c>
      <c r="AC18" s="17">
        <f t="shared" si="7"/>
        <v>0.41225961538461536</v>
      </c>
      <c r="AD18" s="23" t="s">
        <v>742</v>
      </c>
      <c r="AE18" s="14" t="s">
        <v>42</v>
      </c>
      <c r="AF18" s="14" t="s">
        <v>496</v>
      </c>
      <c r="AG18" s="14" t="s">
        <v>743</v>
      </c>
      <c r="AH18" s="14" t="s">
        <v>376</v>
      </c>
    </row>
    <row r="19" spans="1:34" s="14" customFormat="1" ht="28.8" x14ac:dyDescent="0.3">
      <c r="A19" s="19">
        <v>44475</v>
      </c>
      <c r="B19" s="14" t="s">
        <v>751</v>
      </c>
      <c r="C19" s="14" t="s">
        <v>437</v>
      </c>
      <c r="D19" s="14" t="s">
        <v>622</v>
      </c>
      <c r="E19" s="14" t="s">
        <v>89</v>
      </c>
      <c r="F19" s="14" t="s">
        <v>90</v>
      </c>
      <c r="G19" s="14" t="s">
        <v>64</v>
      </c>
      <c r="H19" s="20">
        <v>55308</v>
      </c>
      <c r="I19" s="14" t="s">
        <v>39</v>
      </c>
      <c r="K19" s="21">
        <v>44409</v>
      </c>
      <c r="L19" s="19">
        <v>44835</v>
      </c>
      <c r="M19" s="19">
        <v>47999</v>
      </c>
      <c r="N19" s="19">
        <v>46873</v>
      </c>
      <c r="O19" s="14">
        <v>104</v>
      </c>
      <c r="P19" s="22">
        <v>16</v>
      </c>
      <c r="Q19" s="10">
        <v>11.21</v>
      </c>
      <c r="R19" s="10">
        <f t="shared" si="8"/>
        <v>27.21</v>
      </c>
      <c r="S19" s="15">
        <v>0.5</v>
      </c>
      <c r="T19" s="12">
        <v>65</v>
      </c>
      <c r="U19" s="10">
        <f t="shared" si="0"/>
        <v>7.5000000000000009</v>
      </c>
      <c r="V19" s="26">
        <v>6</v>
      </c>
      <c r="W19" s="14" t="s">
        <v>40</v>
      </c>
      <c r="X19" s="15">
        <f t="shared" si="1"/>
        <v>13.605</v>
      </c>
      <c r="Y19" s="16">
        <f t="shared" si="2"/>
        <v>0.6923076923076924</v>
      </c>
      <c r="Z19" s="15">
        <f t="shared" si="3"/>
        <v>1.5698076923076925</v>
      </c>
      <c r="AA19" s="12">
        <f>X19+T19</f>
        <v>78.605000000000004</v>
      </c>
      <c r="AB19" s="15">
        <f t="shared" si="5"/>
        <v>9.0698076923076929</v>
      </c>
      <c r="AC19" s="17">
        <f t="shared" si="7"/>
        <v>0.56686298076923081</v>
      </c>
      <c r="AD19" s="23" t="s">
        <v>439</v>
      </c>
      <c r="AE19" s="14" t="s">
        <v>98</v>
      </c>
      <c r="AF19" s="14" t="s">
        <v>545</v>
      </c>
      <c r="AH19" s="14" t="s">
        <v>752</v>
      </c>
    </row>
    <row r="20" spans="1:34" s="14" customFormat="1" ht="28.8" x14ac:dyDescent="0.3">
      <c r="A20" s="19">
        <v>45812</v>
      </c>
      <c r="B20" s="14" t="s">
        <v>75</v>
      </c>
      <c r="C20" s="14" t="s">
        <v>60</v>
      </c>
      <c r="D20" s="14" t="s">
        <v>61</v>
      </c>
      <c r="E20" s="14" t="s">
        <v>62</v>
      </c>
      <c r="F20" s="14" t="s">
        <v>63</v>
      </c>
      <c r="G20" s="14" t="s">
        <v>64</v>
      </c>
      <c r="H20" s="20">
        <v>2725</v>
      </c>
      <c r="I20" s="14" t="s">
        <v>39</v>
      </c>
      <c r="K20" s="21"/>
      <c r="L20" s="19">
        <v>45444</v>
      </c>
      <c r="M20" s="19">
        <v>47999</v>
      </c>
      <c r="N20" s="19"/>
      <c r="O20" s="14">
        <v>84</v>
      </c>
      <c r="P20" s="22">
        <v>20.25</v>
      </c>
      <c r="Q20" s="10">
        <v>16.87</v>
      </c>
      <c r="R20" s="10">
        <f t="shared" si="8"/>
        <v>37.120000000000005</v>
      </c>
      <c r="S20" s="15">
        <v>0.5</v>
      </c>
      <c r="T20" s="12">
        <v>95</v>
      </c>
      <c r="U20" s="10">
        <f t="shared" si="0"/>
        <v>13.571428571428571</v>
      </c>
      <c r="V20" s="26">
        <v>9</v>
      </c>
      <c r="W20" s="14" t="s">
        <v>40</v>
      </c>
      <c r="X20" s="15">
        <f t="shared" si="1"/>
        <v>27.840000000000003</v>
      </c>
      <c r="Y20" s="16">
        <f t="shared" si="2"/>
        <v>1.2857142857142858</v>
      </c>
      <c r="Z20" s="15">
        <f t="shared" si="3"/>
        <v>3.9771428571428578</v>
      </c>
      <c r="AA20" s="12">
        <f>T20+X20</f>
        <v>122.84</v>
      </c>
      <c r="AB20" s="15">
        <f t="shared" si="5"/>
        <v>17.548571428571428</v>
      </c>
      <c r="AC20" s="17">
        <f t="shared" si="7"/>
        <v>0.86659611992945329</v>
      </c>
      <c r="AD20" s="23"/>
      <c r="AE20" s="8"/>
      <c r="AH20" s="14" t="s">
        <v>65</v>
      </c>
    </row>
    <row r="21" spans="1:34" s="14" customFormat="1" ht="72" x14ac:dyDescent="0.3">
      <c r="A21" s="19">
        <v>44417</v>
      </c>
      <c r="B21" s="14" t="s">
        <v>787</v>
      </c>
      <c r="C21" s="14" t="s">
        <v>101</v>
      </c>
      <c r="D21" s="14" t="s">
        <v>102</v>
      </c>
      <c r="E21" s="14" t="s">
        <v>103</v>
      </c>
      <c r="F21" s="14" t="s">
        <v>37</v>
      </c>
      <c r="G21" s="14" t="s">
        <v>38</v>
      </c>
      <c r="H21" s="20">
        <v>53629</v>
      </c>
      <c r="I21" s="14" t="s">
        <v>39</v>
      </c>
      <c r="K21" s="21"/>
      <c r="L21" s="19">
        <v>44652</v>
      </c>
      <c r="M21" s="19">
        <v>50130</v>
      </c>
      <c r="N21" s="19"/>
      <c r="O21" s="14">
        <v>180</v>
      </c>
      <c r="P21" s="22">
        <v>21</v>
      </c>
      <c r="Q21" s="10">
        <v>12.47</v>
      </c>
      <c r="R21" s="10">
        <f t="shared" si="8"/>
        <v>33.47</v>
      </c>
      <c r="S21" s="15">
        <v>0.5</v>
      </c>
      <c r="T21" s="12">
        <v>91</v>
      </c>
      <c r="U21" s="10">
        <f t="shared" si="0"/>
        <v>6.0666666666666664</v>
      </c>
      <c r="V21" s="26">
        <v>18</v>
      </c>
      <c r="W21" s="14" t="s">
        <v>40</v>
      </c>
      <c r="X21" s="15">
        <f t="shared" si="1"/>
        <v>50.204999999999998</v>
      </c>
      <c r="Y21" s="16">
        <f t="shared" si="2"/>
        <v>1.2</v>
      </c>
      <c r="Z21" s="15">
        <f t="shared" si="3"/>
        <v>3.347</v>
      </c>
      <c r="AA21" s="12">
        <f>T21+X21</f>
        <v>141.20499999999998</v>
      </c>
      <c r="AB21" s="15">
        <f t="shared" si="5"/>
        <v>9.413666666666666</v>
      </c>
      <c r="AC21" s="17">
        <f t="shared" si="7"/>
        <v>0.44826984126984126</v>
      </c>
      <c r="AD21" s="23" t="s">
        <v>224</v>
      </c>
      <c r="AE21" s="14" t="s">
        <v>47</v>
      </c>
      <c r="AF21" s="14" t="s">
        <v>235</v>
      </c>
      <c r="AG21" s="14" t="s">
        <v>788</v>
      </c>
      <c r="AH21" s="14" t="s">
        <v>92</v>
      </c>
    </row>
    <row r="22" spans="1:34" s="14" customFormat="1" ht="28.8" x14ac:dyDescent="0.3">
      <c r="A22" s="19">
        <v>44022</v>
      </c>
      <c r="B22" s="14" t="s">
        <v>924</v>
      </c>
      <c r="C22" s="14" t="s">
        <v>87</v>
      </c>
      <c r="D22" s="14" t="s">
        <v>316</v>
      </c>
      <c r="E22" s="14" t="s">
        <v>89</v>
      </c>
      <c r="F22" s="14" t="s">
        <v>90</v>
      </c>
      <c r="G22" s="14" t="s">
        <v>64</v>
      </c>
      <c r="H22" s="20">
        <v>33628</v>
      </c>
      <c r="I22" s="14" t="s">
        <v>74</v>
      </c>
      <c r="K22" s="21"/>
      <c r="L22" s="19">
        <v>44136</v>
      </c>
      <c r="M22" s="19">
        <v>48334</v>
      </c>
      <c r="N22" s="19"/>
      <c r="O22" s="14">
        <v>138</v>
      </c>
      <c r="P22" s="22">
        <v>15</v>
      </c>
      <c r="Q22" s="10">
        <v>13.37</v>
      </c>
      <c r="R22" s="10">
        <f t="shared" si="8"/>
        <v>28.369999999999997</v>
      </c>
      <c r="S22" s="15">
        <v>0.5</v>
      </c>
      <c r="T22" s="12">
        <v>75</v>
      </c>
      <c r="U22" s="10">
        <f t="shared" si="0"/>
        <v>6.5217391304347823</v>
      </c>
      <c r="V22" s="26">
        <v>12</v>
      </c>
      <c r="W22" s="14" t="s">
        <v>40</v>
      </c>
      <c r="X22" s="15">
        <f t="shared" si="1"/>
        <v>28.369999999999997</v>
      </c>
      <c r="Y22" s="16">
        <f t="shared" si="2"/>
        <v>1.0434782608695652</v>
      </c>
      <c r="Z22" s="15">
        <f t="shared" si="3"/>
        <v>2.4669565217391303</v>
      </c>
      <c r="AA22" s="12">
        <f>X22+T22</f>
        <v>103.37</v>
      </c>
      <c r="AB22" s="15">
        <f t="shared" si="5"/>
        <v>8.988695652173913</v>
      </c>
      <c r="AC22" s="17">
        <f t="shared" si="7"/>
        <v>0.59924637681159421</v>
      </c>
      <c r="AD22" s="23" t="s">
        <v>464</v>
      </c>
      <c r="AE22" s="14" t="s">
        <v>682</v>
      </c>
      <c r="AF22" s="14" t="s">
        <v>683</v>
      </c>
      <c r="AH22" s="14" t="s">
        <v>230</v>
      </c>
    </row>
    <row r="23" spans="1:34" s="14" customFormat="1" ht="57.6" x14ac:dyDescent="0.3">
      <c r="A23" s="19">
        <v>44929</v>
      </c>
      <c r="B23" s="14" t="s">
        <v>494</v>
      </c>
      <c r="C23" s="14" t="s">
        <v>222</v>
      </c>
      <c r="D23" s="14" t="s">
        <v>495</v>
      </c>
      <c r="E23" s="14" t="s">
        <v>194</v>
      </c>
      <c r="F23" s="14" t="s">
        <v>63</v>
      </c>
      <c r="G23" s="14" t="s">
        <v>64</v>
      </c>
      <c r="H23" s="20">
        <v>4120</v>
      </c>
      <c r="I23" s="14" t="s">
        <v>414</v>
      </c>
      <c r="K23" s="21"/>
      <c r="L23" s="19">
        <v>44927</v>
      </c>
      <c r="M23" s="19">
        <v>47695</v>
      </c>
      <c r="N23" s="19"/>
      <c r="O23" s="14">
        <v>91</v>
      </c>
      <c r="P23" s="22">
        <v>20</v>
      </c>
      <c r="Q23" s="10">
        <v>18.5</v>
      </c>
      <c r="R23" s="10">
        <f t="shared" si="8"/>
        <v>38.5</v>
      </c>
      <c r="S23" s="15">
        <v>0.5</v>
      </c>
      <c r="T23" s="12">
        <v>33</v>
      </c>
      <c r="U23" s="10">
        <f t="shared" si="0"/>
        <v>4.3516483516483522</v>
      </c>
      <c r="V23" s="26">
        <v>7</v>
      </c>
      <c r="W23" s="14" t="s">
        <v>40</v>
      </c>
      <c r="X23" s="15">
        <f t="shared" si="1"/>
        <v>22.458333333333336</v>
      </c>
      <c r="Y23" s="16">
        <f t="shared" si="2"/>
        <v>0.92307692307692313</v>
      </c>
      <c r="Z23" s="15">
        <f t="shared" si="3"/>
        <v>2.9615384615384621</v>
      </c>
      <c r="AA23" s="12">
        <f>T23+X23</f>
        <v>55.458333333333336</v>
      </c>
      <c r="AB23" s="15">
        <f t="shared" si="5"/>
        <v>7.3131868131868139</v>
      </c>
      <c r="AC23" s="17">
        <f t="shared" si="7"/>
        <v>0.36565934065934069</v>
      </c>
      <c r="AD23" s="23" t="s">
        <v>224</v>
      </c>
      <c r="AE23" s="14" t="s">
        <v>42</v>
      </c>
      <c r="AF23" s="14" t="s">
        <v>496</v>
      </c>
      <c r="AG23" s="14" t="s">
        <v>497</v>
      </c>
    </row>
    <row r="24" spans="1:34" s="14" customFormat="1" ht="28.8" x14ac:dyDescent="0.3">
      <c r="A24" s="19">
        <v>44953</v>
      </c>
      <c r="B24" s="14" t="s">
        <v>458</v>
      </c>
      <c r="C24" s="14" t="s">
        <v>361</v>
      </c>
      <c r="D24" s="14" t="s">
        <v>459</v>
      </c>
      <c r="E24" s="14" t="s">
        <v>194</v>
      </c>
      <c r="F24" s="14" t="s">
        <v>63</v>
      </c>
      <c r="G24" s="14" t="s">
        <v>64</v>
      </c>
      <c r="H24" s="20">
        <v>7094</v>
      </c>
      <c r="I24" s="14" t="s">
        <v>177</v>
      </c>
      <c r="K24" s="57">
        <v>44927</v>
      </c>
      <c r="L24" s="19">
        <v>45078</v>
      </c>
      <c r="M24" s="19">
        <v>47422</v>
      </c>
      <c r="N24" s="19"/>
      <c r="O24" s="14">
        <v>65</v>
      </c>
      <c r="P24" s="12">
        <v>18.5</v>
      </c>
      <c r="Q24" s="15">
        <v>19.48</v>
      </c>
      <c r="R24" s="15">
        <f t="shared" si="8"/>
        <v>37.980000000000004</v>
      </c>
      <c r="S24" s="15">
        <v>0.5</v>
      </c>
      <c r="T24" s="58">
        <v>40</v>
      </c>
      <c r="U24" s="10">
        <f t="shared" si="0"/>
        <v>7.3846153846153841</v>
      </c>
      <c r="V24" s="13">
        <v>5</v>
      </c>
      <c r="W24" s="14" t="s">
        <v>40</v>
      </c>
      <c r="X24" s="15">
        <f t="shared" si="1"/>
        <v>15.825000000000003</v>
      </c>
      <c r="Y24" s="16">
        <f t="shared" si="2"/>
        <v>0.92307692307692302</v>
      </c>
      <c r="Z24" s="15">
        <f t="shared" si="3"/>
        <v>2.9215384615384621</v>
      </c>
      <c r="AA24" s="12">
        <f>X24+T24</f>
        <v>55.825000000000003</v>
      </c>
      <c r="AB24" s="15">
        <f t="shared" si="5"/>
        <v>10.306153846153846</v>
      </c>
      <c r="AC24" s="17">
        <f t="shared" si="7"/>
        <v>0.55708939708939709</v>
      </c>
      <c r="AD24" s="23" t="s">
        <v>460</v>
      </c>
      <c r="AE24" s="14" t="s">
        <v>42</v>
      </c>
      <c r="AF24" s="14" t="s">
        <v>56</v>
      </c>
      <c r="AH24" s="14" t="s">
        <v>58</v>
      </c>
    </row>
    <row r="25" spans="1:34" s="14" customFormat="1" ht="43.2" x14ac:dyDescent="0.3">
      <c r="A25" s="19">
        <v>44928</v>
      </c>
      <c r="B25" s="14" t="s">
        <v>508</v>
      </c>
      <c r="C25" s="14" t="s">
        <v>509</v>
      </c>
      <c r="D25" s="14" t="s">
        <v>247</v>
      </c>
      <c r="E25" s="14" t="s">
        <v>194</v>
      </c>
      <c r="F25" s="14" t="s">
        <v>63</v>
      </c>
      <c r="G25" s="14" t="s">
        <v>64</v>
      </c>
      <c r="H25" s="20">
        <v>3861</v>
      </c>
      <c r="I25" s="14" t="s">
        <v>39</v>
      </c>
      <c r="K25" s="21"/>
      <c r="L25" s="19">
        <v>44835</v>
      </c>
      <c r="M25" s="19">
        <v>47026</v>
      </c>
      <c r="N25" s="19"/>
      <c r="O25" s="14">
        <v>72</v>
      </c>
      <c r="P25" s="22">
        <v>14</v>
      </c>
      <c r="Q25" s="10">
        <v>13.99</v>
      </c>
      <c r="R25" s="10">
        <f t="shared" si="8"/>
        <v>27.990000000000002</v>
      </c>
      <c r="S25" s="15">
        <v>0.5</v>
      </c>
      <c r="T25" s="12">
        <v>52</v>
      </c>
      <c r="U25" s="10">
        <f t="shared" si="0"/>
        <v>8.6666666666666661</v>
      </c>
      <c r="V25" s="26">
        <v>8</v>
      </c>
      <c r="W25" s="14" t="s">
        <v>40</v>
      </c>
      <c r="X25" s="15">
        <f t="shared" si="1"/>
        <v>18.66</v>
      </c>
      <c r="Y25" s="16">
        <f t="shared" si="2"/>
        <v>1.3333333333333333</v>
      </c>
      <c r="Z25" s="15">
        <f t="shared" si="3"/>
        <v>3.11</v>
      </c>
      <c r="AA25" s="12">
        <f>X25+T25</f>
        <v>70.66</v>
      </c>
      <c r="AB25" s="15">
        <f t="shared" si="5"/>
        <v>11.776666666666666</v>
      </c>
      <c r="AC25" s="17">
        <f t="shared" si="7"/>
        <v>0.84119047619047616</v>
      </c>
      <c r="AD25" s="23" t="s">
        <v>248</v>
      </c>
      <c r="AE25" s="14" t="s">
        <v>217</v>
      </c>
      <c r="AF25" s="14" t="s">
        <v>510</v>
      </c>
      <c r="AH25" s="14" t="s">
        <v>511</v>
      </c>
    </row>
    <row r="26" spans="1:34" s="14" customFormat="1" ht="86.4" x14ac:dyDescent="0.3">
      <c r="A26" s="19">
        <v>44276</v>
      </c>
      <c r="B26" s="14" t="s">
        <v>839</v>
      </c>
      <c r="C26" s="14" t="s">
        <v>840</v>
      </c>
      <c r="D26" s="14" t="s">
        <v>755</v>
      </c>
      <c r="E26" s="14" t="s">
        <v>62</v>
      </c>
      <c r="F26" s="14" t="s">
        <v>63</v>
      </c>
      <c r="G26" s="14" t="s">
        <v>64</v>
      </c>
      <c r="H26" s="20">
        <v>4644</v>
      </c>
      <c r="I26" s="14" t="s">
        <v>39</v>
      </c>
      <c r="K26" s="21"/>
      <c r="L26" s="19">
        <v>44317</v>
      </c>
      <c r="M26" s="19">
        <v>48334</v>
      </c>
      <c r="N26" s="19"/>
      <c r="O26" s="14">
        <v>132</v>
      </c>
      <c r="P26" s="22">
        <v>14.5</v>
      </c>
      <c r="Q26" s="10">
        <v>10.5</v>
      </c>
      <c r="R26" s="10">
        <f t="shared" si="8"/>
        <v>25</v>
      </c>
      <c r="S26" s="15">
        <v>0.5</v>
      </c>
      <c r="T26" s="12">
        <v>15</v>
      </c>
      <c r="U26" s="10">
        <f t="shared" si="0"/>
        <v>1.3636363636363635</v>
      </c>
      <c r="V26" s="26">
        <v>36</v>
      </c>
      <c r="W26" s="14" t="s">
        <v>40</v>
      </c>
      <c r="X26" s="15">
        <f t="shared" si="1"/>
        <v>75</v>
      </c>
      <c r="Y26" s="16">
        <f t="shared" si="2"/>
        <v>3.2727272727272729</v>
      </c>
      <c r="Z26" s="15">
        <f t="shared" si="3"/>
        <v>6.8181818181818183</v>
      </c>
      <c r="AA26" s="12">
        <f t="shared" ref="AA26:AA33" si="9">T26+X26</f>
        <v>90</v>
      </c>
      <c r="AB26" s="15">
        <f t="shared" si="5"/>
        <v>8.1818181818181817</v>
      </c>
      <c r="AC26" s="17">
        <f t="shared" si="7"/>
        <v>0.56426332288401249</v>
      </c>
      <c r="AD26" s="23" t="s">
        <v>841</v>
      </c>
      <c r="AE26" s="14" t="s">
        <v>186</v>
      </c>
      <c r="AG26" s="14" t="s">
        <v>842</v>
      </c>
      <c r="AH26" s="14" t="s">
        <v>58</v>
      </c>
    </row>
    <row r="27" spans="1:34" s="14" customFormat="1" ht="28.8" x14ac:dyDescent="0.3">
      <c r="A27" s="19">
        <v>46064</v>
      </c>
      <c r="B27" s="14" t="s">
        <v>1335</v>
      </c>
      <c r="C27" s="14" t="s">
        <v>334</v>
      </c>
      <c r="D27" s="14" t="s">
        <v>1336</v>
      </c>
      <c r="E27" s="14" t="s">
        <v>336</v>
      </c>
      <c r="F27" s="14" t="s">
        <v>63</v>
      </c>
      <c r="G27" s="14" t="s">
        <v>64</v>
      </c>
      <c r="H27" s="20">
        <v>24654</v>
      </c>
      <c r="I27" s="14" t="s">
        <v>74</v>
      </c>
      <c r="K27" s="21">
        <v>46023</v>
      </c>
      <c r="L27" s="19">
        <v>47635</v>
      </c>
      <c r="M27" s="19">
        <v>49613</v>
      </c>
      <c r="N27" s="19"/>
      <c r="O27" s="14">
        <v>65</v>
      </c>
      <c r="P27" s="22"/>
      <c r="Q27" s="10">
        <v>10.14</v>
      </c>
      <c r="R27" s="10">
        <v>23</v>
      </c>
      <c r="S27" s="15">
        <v>0.5</v>
      </c>
      <c r="T27" s="12">
        <v>25</v>
      </c>
      <c r="U27" s="10">
        <f t="shared" si="0"/>
        <v>4.615384615384615</v>
      </c>
      <c r="V27" s="26">
        <v>5</v>
      </c>
      <c r="W27" s="14" t="s">
        <v>40</v>
      </c>
      <c r="X27" s="15">
        <f t="shared" si="1"/>
        <v>9.5833333333333339</v>
      </c>
      <c r="Y27" s="16">
        <f t="shared" si="2"/>
        <v>0.92307692307692302</v>
      </c>
      <c r="Z27" s="15">
        <f t="shared" si="3"/>
        <v>1.7692307692307692</v>
      </c>
      <c r="AA27" s="12">
        <f t="shared" si="9"/>
        <v>34.583333333333336</v>
      </c>
      <c r="AB27" s="15">
        <f t="shared" si="5"/>
        <v>6.384615384615385</v>
      </c>
      <c r="AC27" s="17" t="e">
        <f t="shared" si="7"/>
        <v>#DIV/0!</v>
      </c>
      <c r="AD27" s="23" t="s">
        <v>338</v>
      </c>
      <c r="AE27" s="14" t="s">
        <v>91</v>
      </c>
      <c r="AF27" s="14" t="s">
        <v>131</v>
      </c>
      <c r="AH27" s="14" t="s">
        <v>1337</v>
      </c>
    </row>
    <row r="28" spans="1:34" s="14" customFormat="1" x14ac:dyDescent="0.3">
      <c r="A28" s="19">
        <v>44799</v>
      </c>
      <c r="B28" s="14" t="s">
        <v>589</v>
      </c>
      <c r="C28" s="14" t="s">
        <v>118</v>
      </c>
      <c r="D28" s="14" t="s">
        <v>119</v>
      </c>
      <c r="E28" s="14" t="s">
        <v>120</v>
      </c>
      <c r="F28" s="14" t="s">
        <v>90</v>
      </c>
      <c r="G28" s="14" t="s">
        <v>55</v>
      </c>
      <c r="H28" s="20">
        <v>7307</v>
      </c>
      <c r="I28" s="14" t="s">
        <v>39</v>
      </c>
      <c r="K28" s="21"/>
      <c r="L28" s="19">
        <v>44774</v>
      </c>
      <c r="M28" s="19">
        <v>48852</v>
      </c>
      <c r="N28" s="19"/>
      <c r="O28" s="14">
        <v>134</v>
      </c>
      <c r="P28" s="22">
        <v>13.5</v>
      </c>
      <c r="Q28" s="10">
        <v>9.98</v>
      </c>
      <c r="R28" s="10">
        <f>P28+Q28</f>
        <v>23.48</v>
      </c>
      <c r="S28" s="15">
        <v>0.5</v>
      </c>
      <c r="T28" s="12">
        <v>60</v>
      </c>
      <c r="U28" s="10">
        <f t="shared" si="0"/>
        <v>5.3731343283582094</v>
      </c>
      <c r="V28" s="26">
        <v>14</v>
      </c>
      <c r="W28" s="14" t="s">
        <v>40</v>
      </c>
      <c r="X28" s="15">
        <f t="shared" si="1"/>
        <v>27.393333333333334</v>
      </c>
      <c r="Y28" s="16">
        <f t="shared" si="2"/>
        <v>1.2537313432835822</v>
      </c>
      <c r="Z28" s="15">
        <f t="shared" si="3"/>
        <v>2.453134328358209</v>
      </c>
      <c r="AA28" s="12">
        <f t="shared" si="9"/>
        <v>87.393333333333331</v>
      </c>
      <c r="AB28" s="15">
        <f t="shared" si="5"/>
        <v>7.8262686567164179</v>
      </c>
      <c r="AC28" s="17">
        <f t="shared" si="7"/>
        <v>0.57972360420121616</v>
      </c>
      <c r="AD28" s="23" t="s">
        <v>369</v>
      </c>
      <c r="AE28" s="14" t="s">
        <v>590</v>
      </c>
      <c r="AF28" s="14" t="s">
        <v>591</v>
      </c>
      <c r="AG28" s="14" t="s">
        <v>354</v>
      </c>
    </row>
    <row r="29" spans="1:34" s="14" customFormat="1" x14ac:dyDescent="0.3">
      <c r="A29" s="19">
        <v>44680</v>
      </c>
      <c r="B29" s="14" t="s">
        <v>630</v>
      </c>
      <c r="C29" s="14" t="s">
        <v>631</v>
      </c>
      <c r="D29" s="14" t="s">
        <v>632</v>
      </c>
      <c r="E29" s="14" t="s">
        <v>97</v>
      </c>
      <c r="F29" s="14" t="s">
        <v>97</v>
      </c>
      <c r="G29" s="14" t="s">
        <v>64</v>
      </c>
      <c r="H29" s="20">
        <v>12978</v>
      </c>
      <c r="I29" s="14" t="s">
        <v>74</v>
      </c>
      <c r="K29" s="21"/>
      <c r="L29" s="19">
        <v>44927</v>
      </c>
      <c r="M29" s="19">
        <v>46873</v>
      </c>
      <c r="N29" s="19"/>
      <c r="O29" s="14">
        <v>64</v>
      </c>
      <c r="P29" s="22">
        <v>20.07</v>
      </c>
      <c r="Q29" s="10">
        <v>19.93</v>
      </c>
      <c r="R29" s="10">
        <f>P29+Q29</f>
        <v>40</v>
      </c>
      <c r="S29" s="15">
        <v>0.5</v>
      </c>
      <c r="T29" s="12">
        <v>10</v>
      </c>
      <c r="U29" s="10">
        <f t="shared" si="0"/>
        <v>1.875</v>
      </c>
      <c r="V29" s="26">
        <v>4</v>
      </c>
      <c r="W29" s="14" t="s">
        <v>40</v>
      </c>
      <c r="X29" s="15">
        <f t="shared" si="1"/>
        <v>13.333333333333332</v>
      </c>
      <c r="Y29" s="16">
        <f t="shared" si="2"/>
        <v>0.75</v>
      </c>
      <c r="Z29" s="15">
        <f t="shared" si="3"/>
        <v>2.5</v>
      </c>
      <c r="AA29" s="12">
        <f t="shared" si="9"/>
        <v>23.333333333333332</v>
      </c>
      <c r="AB29" s="15">
        <f t="shared" si="5"/>
        <v>4.375</v>
      </c>
      <c r="AC29" s="17">
        <f t="shared" si="7"/>
        <v>0.21798704534130542</v>
      </c>
      <c r="AD29" s="23" t="s">
        <v>633</v>
      </c>
      <c r="AE29" s="14" t="s">
        <v>98</v>
      </c>
      <c r="AF29" s="14" t="s">
        <v>331</v>
      </c>
      <c r="AG29" s="14" t="s">
        <v>187</v>
      </c>
      <c r="AH29" s="14" t="s">
        <v>265</v>
      </c>
    </row>
    <row r="30" spans="1:34" s="14" customFormat="1" ht="28.8" x14ac:dyDescent="0.3">
      <c r="A30" s="19">
        <v>46049</v>
      </c>
      <c r="B30" s="14" t="s">
        <v>1321</v>
      </c>
      <c r="C30" s="14" t="s">
        <v>472</v>
      </c>
      <c r="D30" s="14" t="s">
        <v>1325</v>
      </c>
      <c r="E30" s="14" t="s">
        <v>79</v>
      </c>
      <c r="F30" s="14" t="s">
        <v>37</v>
      </c>
      <c r="G30" s="14" t="s">
        <v>38</v>
      </c>
      <c r="H30" s="20">
        <v>38788</v>
      </c>
      <c r="I30" s="14" t="s">
        <v>39</v>
      </c>
      <c r="K30" s="21">
        <v>46204</v>
      </c>
      <c r="L30" s="19">
        <v>45627</v>
      </c>
      <c r="M30" s="19">
        <v>47603</v>
      </c>
      <c r="N30" s="19"/>
      <c r="O30" s="14">
        <v>65</v>
      </c>
      <c r="P30" s="22">
        <v>18</v>
      </c>
      <c r="Q30" s="10"/>
      <c r="R30" s="10"/>
      <c r="S30" s="15">
        <v>0.5</v>
      </c>
      <c r="T30" s="12">
        <v>15</v>
      </c>
      <c r="U30" s="10">
        <f t="shared" si="0"/>
        <v>2.7692307692307692</v>
      </c>
      <c r="V30" s="26">
        <v>5</v>
      </c>
      <c r="W30" s="14" t="s">
        <v>40</v>
      </c>
      <c r="X30" s="15">
        <f t="shared" si="1"/>
        <v>0</v>
      </c>
      <c r="Y30" s="16">
        <f t="shared" si="2"/>
        <v>0.92307692307692302</v>
      </c>
      <c r="Z30" s="15">
        <f t="shared" si="3"/>
        <v>0</v>
      </c>
      <c r="AA30" s="12">
        <f t="shared" si="9"/>
        <v>15</v>
      </c>
      <c r="AB30" s="15">
        <f t="shared" si="5"/>
        <v>2.7692307692307692</v>
      </c>
      <c r="AC30" s="17">
        <f t="shared" si="7"/>
        <v>0.15384615384615385</v>
      </c>
      <c r="AD30" s="23" t="s">
        <v>1327</v>
      </c>
      <c r="AE30" s="14" t="s">
        <v>98</v>
      </c>
      <c r="AF30" s="14" t="s">
        <v>1326</v>
      </c>
      <c r="AH30" s="14" t="s">
        <v>49</v>
      </c>
    </row>
    <row r="31" spans="1:34" s="14" customFormat="1" ht="28.8" x14ac:dyDescent="0.3">
      <c r="A31" s="19">
        <v>43951</v>
      </c>
      <c r="B31" s="14" t="s">
        <v>993</v>
      </c>
      <c r="C31" s="14" t="s">
        <v>60</v>
      </c>
      <c r="D31" s="14" t="s">
        <v>61</v>
      </c>
      <c r="E31" s="14" t="s">
        <v>62</v>
      </c>
      <c r="F31" s="14" t="s">
        <v>63</v>
      </c>
      <c r="G31" s="14" t="s">
        <v>64</v>
      </c>
      <c r="H31" s="20">
        <v>7901</v>
      </c>
      <c r="I31" s="14" t="s">
        <v>488</v>
      </c>
      <c r="K31" s="21">
        <v>43435</v>
      </c>
      <c r="L31" s="19">
        <v>43739</v>
      </c>
      <c r="M31" s="19">
        <v>46660</v>
      </c>
      <c r="N31" s="19"/>
      <c r="O31" s="14">
        <v>96</v>
      </c>
      <c r="P31" s="22">
        <v>21.5</v>
      </c>
      <c r="Q31" s="10">
        <v>14.25</v>
      </c>
      <c r="R31" s="10">
        <f t="shared" ref="R31:R53" si="10">P31+Q31</f>
        <v>35.75</v>
      </c>
      <c r="S31" s="15">
        <v>0.5</v>
      </c>
      <c r="T31" s="12">
        <v>0</v>
      </c>
      <c r="U31" s="10">
        <f t="shared" si="0"/>
        <v>0</v>
      </c>
      <c r="V31" s="26">
        <v>7</v>
      </c>
      <c r="W31" s="14" t="s">
        <v>40</v>
      </c>
      <c r="X31" s="15">
        <f t="shared" si="1"/>
        <v>20.854166666666668</v>
      </c>
      <c r="Y31" s="16">
        <f t="shared" si="2"/>
        <v>0.875</v>
      </c>
      <c r="Z31" s="15">
        <f t="shared" si="3"/>
        <v>2.6067708333333335</v>
      </c>
      <c r="AA31" s="12">
        <f t="shared" si="9"/>
        <v>20.854166666666668</v>
      </c>
      <c r="AB31" s="15">
        <f t="shared" si="5"/>
        <v>2.6067708333333335</v>
      </c>
      <c r="AC31" s="17">
        <f t="shared" si="7"/>
        <v>0.1212451550387597</v>
      </c>
      <c r="AD31" s="23" t="s">
        <v>994</v>
      </c>
      <c r="AE31" s="8" t="s">
        <v>91</v>
      </c>
      <c r="AF31" s="14" t="s">
        <v>995</v>
      </c>
      <c r="AH31" s="14" t="s">
        <v>996</v>
      </c>
    </row>
    <row r="32" spans="1:34" s="14" customFormat="1" ht="43.2" x14ac:dyDescent="0.3">
      <c r="A32" s="19">
        <v>44574</v>
      </c>
      <c r="B32" s="14" t="s">
        <v>707</v>
      </c>
      <c r="C32" s="14" t="s">
        <v>222</v>
      </c>
      <c r="D32" s="14" t="s">
        <v>708</v>
      </c>
      <c r="E32" s="14" t="s">
        <v>194</v>
      </c>
      <c r="F32" s="14" t="s">
        <v>63</v>
      </c>
      <c r="G32" s="14" t="s">
        <v>64</v>
      </c>
      <c r="H32" s="20">
        <v>6137</v>
      </c>
      <c r="I32" s="14" t="s">
        <v>74</v>
      </c>
      <c r="K32" s="21"/>
      <c r="L32" s="19">
        <v>44713</v>
      </c>
      <c r="M32" s="19">
        <v>46721</v>
      </c>
      <c r="N32" s="19"/>
      <c r="O32" s="14">
        <v>66</v>
      </c>
      <c r="P32" s="22">
        <v>17.010000000000002</v>
      </c>
      <c r="Q32" s="10">
        <v>14.99</v>
      </c>
      <c r="R32" s="10">
        <f t="shared" si="10"/>
        <v>32</v>
      </c>
      <c r="S32" s="15">
        <v>0.5</v>
      </c>
      <c r="T32" s="12">
        <v>30</v>
      </c>
      <c r="U32" s="10">
        <f t="shared" si="0"/>
        <v>5.4545454545454541</v>
      </c>
      <c r="V32" s="26">
        <v>6</v>
      </c>
      <c r="W32" s="14" t="s">
        <v>40</v>
      </c>
      <c r="X32" s="15">
        <f t="shared" si="1"/>
        <v>16</v>
      </c>
      <c r="Y32" s="16">
        <f t="shared" si="2"/>
        <v>1.0909090909090908</v>
      </c>
      <c r="Z32" s="15">
        <f t="shared" si="3"/>
        <v>2.9090909090909092</v>
      </c>
      <c r="AA32" s="12">
        <f t="shared" si="9"/>
        <v>46</v>
      </c>
      <c r="AB32" s="15">
        <f t="shared" si="5"/>
        <v>8.3636363636363633</v>
      </c>
      <c r="AC32" s="17">
        <f t="shared" si="7"/>
        <v>0.49168938057826939</v>
      </c>
      <c r="AD32" s="23" t="s">
        <v>709</v>
      </c>
      <c r="AE32" s="14" t="s">
        <v>288</v>
      </c>
      <c r="AF32" s="14" t="s">
        <v>481</v>
      </c>
      <c r="AG32" s="14" t="s">
        <v>710</v>
      </c>
      <c r="AH32" s="14" t="s">
        <v>67</v>
      </c>
    </row>
    <row r="33" spans="1:34" s="14" customFormat="1" ht="43.2" x14ac:dyDescent="0.3">
      <c r="A33" s="19">
        <v>43951</v>
      </c>
      <c r="B33" s="14" t="s">
        <v>988</v>
      </c>
      <c r="C33" s="14" t="s">
        <v>286</v>
      </c>
      <c r="D33" s="14" t="s">
        <v>738</v>
      </c>
      <c r="E33" s="14" t="s">
        <v>194</v>
      </c>
      <c r="F33" s="14" t="s">
        <v>63</v>
      </c>
      <c r="G33" s="14" t="s">
        <v>64</v>
      </c>
      <c r="H33" s="20">
        <v>31783</v>
      </c>
      <c r="I33" s="14" t="s">
        <v>291</v>
      </c>
      <c r="K33" s="21">
        <v>43221</v>
      </c>
      <c r="L33" s="19">
        <v>45017</v>
      </c>
      <c r="M33" s="19">
        <v>46507</v>
      </c>
      <c r="N33" s="19"/>
      <c r="O33" s="14">
        <v>49</v>
      </c>
      <c r="P33" s="22">
        <v>21</v>
      </c>
      <c r="Q33" s="10">
        <v>12</v>
      </c>
      <c r="R33" s="10">
        <f t="shared" si="10"/>
        <v>33</v>
      </c>
      <c r="S33" s="11">
        <v>2.5000000000000001E-2</v>
      </c>
      <c r="T33" s="12">
        <v>52</v>
      </c>
      <c r="U33" s="10">
        <f t="shared" si="0"/>
        <v>12.734693877551022</v>
      </c>
      <c r="V33" s="13">
        <v>0</v>
      </c>
      <c r="X33" s="15">
        <f t="shared" si="1"/>
        <v>0</v>
      </c>
      <c r="Y33" s="16">
        <f t="shared" si="2"/>
        <v>0</v>
      </c>
      <c r="Z33" s="15">
        <f t="shared" si="3"/>
        <v>0</v>
      </c>
      <c r="AA33" s="12">
        <f t="shared" si="9"/>
        <v>52</v>
      </c>
      <c r="AB33" s="15">
        <f t="shared" si="5"/>
        <v>12.734693877551022</v>
      </c>
      <c r="AC33" s="17">
        <f t="shared" si="7"/>
        <v>0.60641399416909625</v>
      </c>
      <c r="AD33" s="23" t="s">
        <v>989</v>
      </c>
      <c r="AE33" s="14" t="s">
        <v>288</v>
      </c>
      <c r="AF33" s="14" t="s">
        <v>990</v>
      </c>
      <c r="AG33" s="14" t="s">
        <v>991</v>
      </c>
      <c r="AH33" s="14" t="s">
        <v>992</v>
      </c>
    </row>
    <row r="34" spans="1:34" s="14" customFormat="1" ht="28.8" x14ac:dyDescent="0.3">
      <c r="A34" s="19">
        <v>44925</v>
      </c>
      <c r="B34" s="14" t="s">
        <v>515</v>
      </c>
      <c r="C34" s="14" t="s">
        <v>516</v>
      </c>
      <c r="D34" s="14" t="s">
        <v>517</v>
      </c>
      <c r="E34" s="14" t="s">
        <v>89</v>
      </c>
      <c r="F34" s="14" t="s">
        <v>90</v>
      </c>
      <c r="G34" s="14" t="s">
        <v>64</v>
      </c>
      <c r="H34" s="20">
        <v>25000</v>
      </c>
      <c r="I34" s="14" t="s">
        <v>39</v>
      </c>
      <c r="K34" s="21"/>
      <c r="L34" s="19">
        <v>45108</v>
      </c>
      <c r="M34" s="19">
        <v>49490</v>
      </c>
      <c r="N34" s="19"/>
      <c r="O34" s="14">
        <v>144</v>
      </c>
      <c r="P34" s="22"/>
      <c r="Q34" s="10">
        <v>11.9</v>
      </c>
      <c r="R34" s="10">
        <f t="shared" si="10"/>
        <v>11.9</v>
      </c>
      <c r="S34" s="15">
        <v>0.5</v>
      </c>
      <c r="T34" s="12">
        <v>70</v>
      </c>
      <c r="U34" s="10">
        <f t="shared" si="0"/>
        <v>5.833333333333333</v>
      </c>
      <c r="V34" s="26">
        <v>12</v>
      </c>
      <c r="W34" s="14" t="s">
        <v>40</v>
      </c>
      <c r="X34" s="15">
        <f t="shared" ref="X34:X65" si="11">(V34/12)*R34</f>
        <v>11.9</v>
      </c>
      <c r="Y34" s="16">
        <f t="shared" si="2"/>
        <v>1</v>
      </c>
      <c r="Z34" s="15">
        <f t="shared" ref="Z34:Z65" si="12">X34/(O34/12)</f>
        <v>0.9916666666666667</v>
      </c>
      <c r="AA34" s="12">
        <f>X34+T34</f>
        <v>81.900000000000006</v>
      </c>
      <c r="AB34" s="15">
        <f t="shared" ref="AB34:AB65" si="13">AA34/(O34/12)</f>
        <v>6.8250000000000002</v>
      </c>
      <c r="AC34" s="17" t="e">
        <f t="shared" si="7"/>
        <v>#DIV/0!</v>
      </c>
      <c r="AD34" s="23" t="s">
        <v>518</v>
      </c>
      <c r="AG34" s="14" t="s">
        <v>187</v>
      </c>
      <c r="AH34" s="14" t="s">
        <v>519</v>
      </c>
    </row>
    <row r="35" spans="1:34" s="14" customFormat="1" ht="28.8" x14ac:dyDescent="0.3">
      <c r="A35" s="19">
        <v>45281</v>
      </c>
      <c r="B35" s="14" t="s">
        <v>292</v>
      </c>
      <c r="C35" s="14" t="s">
        <v>207</v>
      </c>
      <c r="D35" s="14" t="s">
        <v>208</v>
      </c>
      <c r="E35" s="14" t="s">
        <v>62</v>
      </c>
      <c r="F35" s="14" t="s">
        <v>63</v>
      </c>
      <c r="G35" s="14" t="s">
        <v>64</v>
      </c>
      <c r="H35" s="27">
        <v>9016</v>
      </c>
      <c r="I35" s="19" t="s">
        <v>281</v>
      </c>
      <c r="J35" s="19"/>
      <c r="K35" s="21"/>
      <c r="L35" s="19">
        <v>46143</v>
      </c>
      <c r="M35" s="19"/>
      <c r="N35" s="19"/>
      <c r="O35" s="14">
        <v>39</v>
      </c>
      <c r="P35" s="12">
        <v>25.34</v>
      </c>
      <c r="Q35" s="15">
        <v>18.53</v>
      </c>
      <c r="R35" s="10">
        <f t="shared" si="10"/>
        <v>43.870000000000005</v>
      </c>
      <c r="S35" s="43">
        <v>0.03</v>
      </c>
      <c r="T35" s="12">
        <v>7.5</v>
      </c>
      <c r="U35" s="10">
        <f t="shared" si="0"/>
        <v>2.3076923076923075</v>
      </c>
      <c r="V35" s="26">
        <v>3</v>
      </c>
      <c r="W35" s="52" t="s">
        <v>40</v>
      </c>
      <c r="X35" s="15">
        <f t="shared" si="11"/>
        <v>10.967500000000001</v>
      </c>
      <c r="Y35" s="16">
        <f t="shared" si="2"/>
        <v>0.92307692307692313</v>
      </c>
      <c r="Z35" s="15">
        <f t="shared" si="12"/>
        <v>3.3746153846153848</v>
      </c>
      <c r="AA35" s="12">
        <f>X35+T35</f>
        <v>18.467500000000001</v>
      </c>
      <c r="AB35" s="15">
        <f t="shared" si="13"/>
        <v>5.6823076923076927</v>
      </c>
      <c r="AC35" s="17">
        <f t="shared" si="7"/>
        <v>0.22424260822050879</v>
      </c>
      <c r="AD35" s="23" t="s">
        <v>209</v>
      </c>
    </row>
    <row r="36" spans="1:34" s="14" customFormat="1" ht="28.8" x14ac:dyDescent="0.3">
      <c r="A36" s="19">
        <v>44952</v>
      </c>
      <c r="B36" s="14" t="s">
        <v>461</v>
      </c>
      <c r="C36" s="14" t="s">
        <v>462</v>
      </c>
      <c r="D36" s="14" t="s">
        <v>463</v>
      </c>
      <c r="E36" s="14" t="s">
        <v>194</v>
      </c>
      <c r="F36" s="14" t="s">
        <v>63</v>
      </c>
      <c r="G36" s="14" t="s">
        <v>64</v>
      </c>
      <c r="H36" s="20">
        <v>3296</v>
      </c>
      <c r="I36" s="14" t="s">
        <v>39</v>
      </c>
      <c r="K36" s="21"/>
      <c r="L36" s="19">
        <v>44774</v>
      </c>
      <c r="M36" s="19">
        <v>46752</v>
      </c>
      <c r="N36" s="19">
        <v>46173</v>
      </c>
      <c r="O36" s="14">
        <v>65</v>
      </c>
      <c r="P36" s="22">
        <v>25</v>
      </c>
      <c r="Q36" s="10">
        <v>21.87</v>
      </c>
      <c r="R36" s="10">
        <f t="shared" si="10"/>
        <v>46.870000000000005</v>
      </c>
      <c r="S36" s="11">
        <v>2.75E-2</v>
      </c>
      <c r="T36" s="12">
        <v>15</v>
      </c>
      <c r="U36" s="10">
        <f t="shared" si="0"/>
        <v>2.7692307692307692</v>
      </c>
      <c r="V36" s="26">
        <v>10</v>
      </c>
      <c r="W36" s="14" t="s">
        <v>40</v>
      </c>
      <c r="X36" s="15">
        <f t="shared" si="11"/>
        <v>39.058333333333337</v>
      </c>
      <c r="Y36" s="16">
        <f t="shared" si="2"/>
        <v>1.846153846153846</v>
      </c>
      <c r="Z36" s="15">
        <f t="shared" si="12"/>
        <v>7.2107692307692313</v>
      </c>
      <c r="AA36" s="12">
        <f>X36+T36</f>
        <v>54.058333333333337</v>
      </c>
      <c r="AB36" s="15">
        <f t="shared" si="13"/>
        <v>9.98</v>
      </c>
      <c r="AC36" s="17">
        <f t="shared" si="7"/>
        <v>0.3992</v>
      </c>
      <c r="AD36" s="23" t="s">
        <v>464</v>
      </c>
      <c r="AE36" s="14" t="s">
        <v>98</v>
      </c>
      <c r="AF36" s="14" t="s">
        <v>465</v>
      </c>
      <c r="AH36" s="14" t="s">
        <v>466</v>
      </c>
    </row>
    <row r="37" spans="1:34" s="14" customFormat="1" ht="57.6" x14ac:dyDescent="0.3">
      <c r="A37" s="19">
        <v>44181</v>
      </c>
      <c r="B37" s="14" t="s">
        <v>872</v>
      </c>
      <c r="C37" s="14" t="s">
        <v>585</v>
      </c>
      <c r="D37" s="14" t="s">
        <v>586</v>
      </c>
      <c r="E37" s="14" t="s">
        <v>62</v>
      </c>
      <c r="F37" s="14" t="s">
        <v>63</v>
      </c>
      <c r="G37" s="14" t="s">
        <v>64</v>
      </c>
      <c r="H37" s="20">
        <v>7621</v>
      </c>
      <c r="I37" s="14" t="s">
        <v>39</v>
      </c>
      <c r="K37" s="21"/>
      <c r="L37" s="19">
        <v>44531</v>
      </c>
      <c r="M37" s="19">
        <v>48487</v>
      </c>
      <c r="N37" s="19">
        <v>47026</v>
      </c>
      <c r="O37" s="14">
        <v>130</v>
      </c>
      <c r="P37" s="22">
        <v>16.5</v>
      </c>
      <c r="Q37" s="10">
        <v>15.13</v>
      </c>
      <c r="R37" s="10">
        <f t="shared" si="10"/>
        <v>31.630000000000003</v>
      </c>
      <c r="S37" s="15">
        <v>0.5</v>
      </c>
      <c r="T37" s="12">
        <v>82</v>
      </c>
      <c r="U37" s="10">
        <f t="shared" si="0"/>
        <v>7.569230769230769</v>
      </c>
      <c r="V37" s="26">
        <v>10</v>
      </c>
      <c r="W37" s="14" t="s">
        <v>40</v>
      </c>
      <c r="X37" s="15">
        <f t="shared" si="11"/>
        <v>26.358333333333338</v>
      </c>
      <c r="Y37" s="16">
        <f t="shared" si="2"/>
        <v>0.92307692307692302</v>
      </c>
      <c r="Z37" s="15">
        <f t="shared" si="12"/>
        <v>2.4330769230769236</v>
      </c>
      <c r="AA37" s="12">
        <f>X37+T37</f>
        <v>108.35833333333333</v>
      </c>
      <c r="AB37" s="15">
        <f t="shared" si="13"/>
        <v>10.002307692307692</v>
      </c>
      <c r="AC37" s="17">
        <f t="shared" si="7"/>
        <v>0.60620046620046619</v>
      </c>
      <c r="AD37" s="23" t="s">
        <v>363</v>
      </c>
      <c r="AE37" s="8" t="s">
        <v>91</v>
      </c>
      <c r="AF37" s="14" t="s">
        <v>873</v>
      </c>
      <c r="AG37" s="14" t="s">
        <v>874</v>
      </c>
      <c r="AH37" s="14" t="s">
        <v>58</v>
      </c>
    </row>
    <row r="38" spans="1:34" s="14" customFormat="1" ht="28.8" x14ac:dyDescent="0.3">
      <c r="A38" s="19">
        <v>44109</v>
      </c>
      <c r="B38" s="14" t="s">
        <v>834</v>
      </c>
      <c r="C38" s="14" t="s">
        <v>351</v>
      </c>
      <c r="D38" s="14" t="s">
        <v>352</v>
      </c>
      <c r="E38" s="14" t="s">
        <v>239</v>
      </c>
      <c r="F38" s="14" t="s">
        <v>37</v>
      </c>
      <c r="G38" s="14" t="s">
        <v>38</v>
      </c>
      <c r="H38" s="20">
        <v>5714</v>
      </c>
      <c r="I38" s="14" t="s">
        <v>74</v>
      </c>
      <c r="K38" s="21"/>
      <c r="L38" s="19">
        <v>44197</v>
      </c>
      <c r="M38" s="19">
        <v>46173</v>
      </c>
      <c r="N38" s="19"/>
      <c r="O38" s="14">
        <v>65</v>
      </c>
      <c r="P38" s="22">
        <v>16</v>
      </c>
      <c r="Q38" s="10">
        <v>10.39</v>
      </c>
      <c r="R38" s="10">
        <f t="shared" si="10"/>
        <v>26.39</v>
      </c>
      <c r="S38" s="15">
        <v>0.5</v>
      </c>
      <c r="T38" s="12">
        <v>0</v>
      </c>
      <c r="U38" s="10">
        <f t="shared" si="0"/>
        <v>0</v>
      </c>
      <c r="V38" s="26">
        <v>5</v>
      </c>
      <c r="W38" s="14" t="s">
        <v>40</v>
      </c>
      <c r="X38" s="15">
        <f t="shared" si="11"/>
        <v>10.995833333333334</v>
      </c>
      <c r="Y38" s="16">
        <f t="shared" si="2"/>
        <v>0.92307692307692302</v>
      </c>
      <c r="Z38" s="15">
        <f t="shared" si="12"/>
        <v>2.0299999999999998</v>
      </c>
      <c r="AA38" s="12">
        <f>X38+T38</f>
        <v>10.995833333333334</v>
      </c>
      <c r="AB38" s="15">
        <f t="shared" si="13"/>
        <v>2.0299999999999998</v>
      </c>
      <c r="AC38" s="17">
        <f t="shared" si="7"/>
        <v>0.12687499999999999</v>
      </c>
      <c r="AD38" s="23" t="s">
        <v>157</v>
      </c>
      <c r="AE38" s="14" t="s">
        <v>590</v>
      </c>
      <c r="AF38" s="14" t="s">
        <v>864</v>
      </c>
      <c r="AH38" s="14" t="s">
        <v>899</v>
      </c>
    </row>
    <row r="39" spans="1:34" s="14" customFormat="1" ht="28.8" x14ac:dyDescent="0.3">
      <c r="A39" s="19">
        <v>44848</v>
      </c>
      <c r="B39" s="14" t="s">
        <v>537</v>
      </c>
      <c r="C39" s="14" t="s">
        <v>118</v>
      </c>
      <c r="D39" s="14" t="s">
        <v>119</v>
      </c>
      <c r="E39" s="14" t="s">
        <v>120</v>
      </c>
      <c r="F39" s="14" t="s">
        <v>90</v>
      </c>
      <c r="G39" s="14" t="s">
        <v>55</v>
      </c>
      <c r="H39" s="20">
        <v>18360</v>
      </c>
      <c r="I39" s="14" t="s">
        <v>39</v>
      </c>
      <c r="K39" s="21"/>
      <c r="L39" s="19">
        <v>44835</v>
      </c>
      <c r="M39" s="19">
        <v>49309</v>
      </c>
      <c r="N39" s="19"/>
      <c r="O39" s="14">
        <v>147</v>
      </c>
      <c r="P39" s="22">
        <v>14.5</v>
      </c>
      <c r="Q39" s="10">
        <v>9.98</v>
      </c>
      <c r="R39" s="10">
        <f t="shared" si="10"/>
        <v>24.48</v>
      </c>
      <c r="S39" s="15">
        <v>0.5</v>
      </c>
      <c r="T39" s="12">
        <v>112</v>
      </c>
      <c r="U39" s="10">
        <f t="shared" si="0"/>
        <v>9.1428571428571423</v>
      </c>
      <c r="V39" s="13">
        <v>0</v>
      </c>
      <c r="X39" s="15">
        <f t="shared" si="11"/>
        <v>0</v>
      </c>
      <c r="Y39" s="16">
        <f t="shared" si="2"/>
        <v>0</v>
      </c>
      <c r="Z39" s="15">
        <f t="shared" si="12"/>
        <v>0</v>
      </c>
      <c r="AA39" s="12">
        <f>T39+X39</f>
        <v>112</v>
      </c>
      <c r="AB39" s="15">
        <f t="shared" si="13"/>
        <v>9.1428571428571423</v>
      </c>
      <c r="AC39" s="17">
        <f t="shared" si="7"/>
        <v>0.63054187192118227</v>
      </c>
      <c r="AD39" s="23" t="s">
        <v>369</v>
      </c>
      <c r="AE39" s="14" t="s">
        <v>538</v>
      </c>
      <c r="AF39" s="14" t="s">
        <v>539</v>
      </c>
      <c r="AG39" s="14" t="s">
        <v>540</v>
      </c>
      <c r="AH39" s="14" t="s">
        <v>230</v>
      </c>
    </row>
    <row r="40" spans="1:34" s="14" customFormat="1" ht="43.2" x14ac:dyDescent="0.3">
      <c r="A40" s="19">
        <v>45876</v>
      </c>
      <c r="B40" s="14" t="s">
        <v>50</v>
      </c>
      <c r="C40" s="14" t="s">
        <v>51</v>
      </c>
      <c r="D40" s="14" t="s">
        <v>52</v>
      </c>
      <c r="E40" s="14" t="s">
        <v>53</v>
      </c>
      <c r="F40" s="14" t="s">
        <v>54</v>
      </c>
      <c r="G40" s="14" t="s">
        <v>55</v>
      </c>
      <c r="H40" s="25">
        <v>7473</v>
      </c>
      <c r="I40" s="14" t="s">
        <v>39</v>
      </c>
      <c r="K40" s="57">
        <v>45870</v>
      </c>
      <c r="L40" s="19">
        <v>46023</v>
      </c>
      <c r="M40" s="19">
        <v>48852</v>
      </c>
      <c r="N40" s="19"/>
      <c r="O40" s="14">
        <v>93</v>
      </c>
      <c r="P40" s="12">
        <v>20.5</v>
      </c>
      <c r="Q40" s="15">
        <v>12.99</v>
      </c>
      <c r="R40" s="10">
        <f t="shared" si="10"/>
        <v>33.49</v>
      </c>
      <c r="S40" s="15">
        <v>0.5</v>
      </c>
      <c r="T40" s="12">
        <v>55</v>
      </c>
      <c r="U40" s="10">
        <f t="shared" si="0"/>
        <v>7.096774193548387</v>
      </c>
      <c r="V40" s="13">
        <v>9</v>
      </c>
      <c r="W40" s="52" t="s">
        <v>40</v>
      </c>
      <c r="X40" s="15">
        <f t="shared" si="11"/>
        <v>25.1175</v>
      </c>
      <c r="Y40" s="16">
        <f t="shared" si="2"/>
        <v>1.1612903225806452</v>
      </c>
      <c r="Z40" s="15">
        <f t="shared" si="12"/>
        <v>3.2409677419354836</v>
      </c>
      <c r="AA40" s="12">
        <f>X40+T40</f>
        <v>80.117500000000007</v>
      </c>
      <c r="AB40" s="15">
        <f t="shared" si="13"/>
        <v>10.337741935483871</v>
      </c>
      <c r="AC40" s="17">
        <f t="shared" si="7"/>
        <v>0.50428009441384736</v>
      </c>
      <c r="AD40" s="23"/>
      <c r="AE40" s="14" t="s">
        <v>42</v>
      </c>
      <c r="AF40" s="14" t="s">
        <v>56</v>
      </c>
      <c r="AG40" s="14" t="s">
        <v>57</v>
      </c>
      <c r="AH40" s="14" t="s">
        <v>58</v>
      </c>
    </row>
    <row r="41" spans="1:34" s="14" customFormat="1" ht="28.8" x14ac:dyDescent="0.3">
      <c r="A41" s="19">
        <v>46049</v>
      </c>
      <c r="B41" s="14" t="s">
        <v>1318</v>
      </c>
      <c r="C41" s="14" t="s">
        <v>372</v>
      </c>
      <c r="D41" s="14" t="s">
        <v>373</v>
      </c>
      <c r="E41" s="14" t="s">
        <v>62</v>
      </c>
      <c r="F41" s="14" t="s">
        <v>63</v>
      </c>
      <c r="G41" s="14" t="s">
        <v>64</v>
      </c>
      <c r="H41" s="25">
        <v>29303</v>
      </c>
      <c r="I41" s="14" t="s">
        <v>74</v>
      </c>
      <c r="K41" s="57"/>
      <c r="L41" s="19">
        <v>45839</v>
      </c>
      <c r="M41" s="19">
        <v>48334</v>
      </c>
      <c r="N41" s="19"/>
      <c r="O41" s="14">
        <v>106</v>
      </c>
      <c r="P41" s="12">
        <v>16</v>
      </c>
      <c r="Q41" s="15">
        <v>16.940000000000001</v>
      </c>
      <c r="R41" s="10">
        <f t="shared" si="10"/>
        <v>32.94</v>
      </c>
      <c r="S41" s="15">
        <v>0.5</v>
      </c>
      <c r="T41" s="12">
        <v>0</v>
      </c>
      <c r="U41" s="10">
        <f t="shared" si="0"/>
        <v>0</v>
      </c>
      <c r="V41" s="13">
        <v>24</v>
      </c>
      <c r="W41" s="52" t="s">
        <v>40</v>
      </c>
      <c r="X41" s="15">
        <f t="shared" si="11"/>
        <v>65.88</v>
      </c>
      <c r="Y41" s="16">
        <f t="shared" si="2"/>
        <v>2.7169811320754715</v>
      </c>
      <c r="Z41" s="15">
        <f t="shared" si="12"/>
        <v>7.4581132075471688</v>
      </c>
      <c r="AA41" s="12">
        <f>X41+T41</f>
        <v>65.88</v>
      </c>
      <c r="AB41" s="15">
        <f t="shared" si="13"/>
        <v>7.4581132075471688</v>
      </c>
      <c r="AC41" s="17">
        <f t="shared" si="7"/>
        <v>0.46613207547169805</v>
      </c>
      <c r="AD41" s="23"/>
      <c r="AE41" s="14" t="s">
        <v>91</v>
      </c>
      <c r="AF41" s="14" t="s">
        <v>225</v>
      </c>
      <c r="AH41" s="14" t="s">
        <v>394</v>
      </c>
    </row>
    <row r="42" spans="1:34" s="14" customFormat="1" ht="28.8" x14ac:dyDescent="0.3">
      <c r="A42" s="19">
        <v>44886</v>
      </c>
      <c r="B42" s="14" t="s">
        <v>526</v>
      </c>
      <c r="C42" s="14" t="s">
        <v>527</v>
      </c>
      <c r="D42" s="14" t="s">
        <v>528</v>
      </c>
      <c r="E42" s="14" t="s">
        <v>357</v>
      </c>
      <c r="F42" s="14" t="s">
        <v>37</v>
      </c>
      <c r="G42" s="14" t="s">
        <v>38</v>
      </c>
      <c r="H42" s="20">
        <v>140634</v>
      </c>
      <c r="I42" s="14" t="s">
        <v>74</v>
      </c>
      <c r="K42" s="21">
        <v>44866</v>
      </c>
      <c r="L42" s="19">
        <v>45261</v>
      </c>
      <c r="M42" s="19">
        <v>46356</v>
      </c>
      <c r="N42" s="19"/>
      <c r="O42" s="14">
        <v>36</v>
      </c>
      <c r="P42" s="22">
        <v>14.5</v>
      </c>
      <c r="Q42" s="10">
        <v>10.75</v>
      </c>
      <c r="R42" s="10">
        <f t="shared" si="10"/>
        <v>25.25</v>
      </c>
      <c r="S42" s="11">
        <v>2.5000000000000001E-2</v>
      </c>
      <c r="T42" s="12">
        <v>0</v>
      </c>
      <c r="U42" s="10">
        <f t="shared" si="0"/>
        <v>0</v>
      </c>
      <c r="V42" s="13">
        <v>0</v>
      </c>
      <c r="X42" s="15">
        <f t="shared" si="11"/>
        <v>0</v>
      </c>
      <c r="Y42" s="16">
        <f t="shared" si="2"/>
        <v>0</v>
      </c>
      <c r="Z42" s="15">
        <f t="shared" si="12"/>
        <v>0</v>
      </c>
      <c r="AA42" s="12">
        <f>T42+X42</f>
        <v>0</v>
      </c>
      <c r="AB42" s="15">
        <f t="shared" si="13"/>
        <v>0</v>
      </c>
      <c r="AC42" s="17"/>
      <c r="AD42" s="23" t="s">
        <v>474</v>
      </c>
      <c r="AE42" s="14" t="s">
        <v>98</v>
      </c>
      <c r="AF42" s="14" t="s">
        <v>529</v>
      </c>
    </row>
    <row r="43" spans="1:34" s="14" customFormat="1" ht="28.8" x14ac:dyDescent="0.3">
      <c r="A43" s="19">
        <v>45805</v>
      </c>
      <c r="B43" s="14" t="s">
        <v>94</v>
      </c>
      <c r="C43" s="14" t="s">
        <v>95</v>
      </c>
      <c r="D43" s="14" t="s">
        <v>96</v>
      </c>
      <c r="E43" s="14" t="s">
        <v>97</v>
      </c>
      <c r="F43" s="14" t="s">
        <v>97</v>
      </c>
      <c r="G43" s="14" t="s">
        <v>64</v>
      </c>
      <c r="H43" s="25">
        <v>12996</v>
      </c>
      <c r="I43" s="14" t="s">
        <v>39</v>
      </c>
      <c r="K43" s="57"/>
      <c r="L43" s="19">
        <v>45870</v>
      </c>
      <c r="M43" s="19">
        <v>48699</v>
      </c>
      <c r="N43" s="19"/>
      <c r="O43" s="14">
        <v>93</v>
      </c>
      <c r="P43" s="12">
        <v>22.5</v>
      </c>
      <c r="Q43" s="15">
        <v>19.5</v>
      </c>
      <c r="R43" s="10">
        <f t="shared" si="10"/>
        <v>42</v>
      </c>
      <c r="S43" s="11">
        <v>0.03</v>
      </c>
      <c r="T43" s="12">
        <v>66</v>
      </c>
      <c r="U43" s="10">
        <f t="shared" si="0"/>
        <v>8.5161290322580641</v>
      </c>
      <c r="V43" s="13">
        <v>8</v>
      </c>
      <c r="W43" s="52" t="s">
        <v>40</v>
      </c>
      <c r="X43" s="15">
        <f t="shared" si="11"/>
        <v>28</v>
      </c>
      <c r="Y43" s="16">
        <f t="shared" si="2"/>
        <v>1.032258064516129</v>
      </c>
      <c r="Z43" s="15">
        <f t="shared" si="12"/>
        <v>3.6129032258064515</v>
      </c>
      <c r="AA43" s="12">
        <f>X43+T43</f>
        <v>94</v>
      </c>
      <c r="AB43" s="15">
        <f t="shared" si="13"/>
        <v>12.129032258064516</v>
      </c>
      <c r="AC43" s="17">
        <f t="shared" ref="AC43:AC65" si="14">AB43/P43</f>
        <v>0.5390681003584229</v>
      </c>
      <c r="AD43" s="23"/>
      <c r="AE43" s="14" t="s">
        <v>98</v>
      </c>
      <c r="AF43" s="14" t="s">
        <v>99</v>
      </c>
      <c r="AH43" s="14" t="s">
        <v>93</v>
      </c>
    </row>
    <row r="44" spans="1:34" s="14" customFormat="1" ht="28.8" x14ac:dyDescent="0.3">
      <c r="A44" s="19">
        <v>44652</v>
      </c>
      <c r="B44" s="14" t="s">
        <v>649</v>
      </c>
      <c r="C44" s="14" t="s">
        <v>232</v>
      </c>
      <c r="D44" s="14" t="s">
        <v>233</v>
      </c>
      <c r="E44" s="14" t="s">
        <v>194</v>
      </c>
      <c r="F44" s="14" t="s">
        <v>63</v>
      </c>
      <c r="G44" s="14" t="s">
        <v>64</v>
      </c>
      <c r="H44" s="20">
        <v>16140</v>
      </c>
      <c r="K44" s="21"/>
      <c r="L44" s="19">
        <v>44562</v>
      </c>
      <c r="M44" s="19">
        <v>48365</v>
      </c>
      <c r="N44" s="19"/>
      <c r="O44" s="14">
        <v>125</v>
      </c>
      <c r="P44" s="22">
        <v>21.75</v>
      </c>
      <c r="Q44" s="10">
        <v>15.6</v>
      </c>
      <c r="R44" s="10">
        <f t="shared" si="10"/>
        <v>37.35</v>
      </c>
      <c r="S44" s="15">
        <v>0.5</v>
      </c>
      <c r="T44" s="12">
        <v>65</v>
      </c>
      <c r="U44" s="10">
        <f t="shared" si="0"/>
        <v>6.24</v>
      </c>
      <c r="V44" s="26">
        <v>13</v>
      </c>
      <c r="W44" s="14" t="s">
        <v>40</v>
      </c>
      <c r="X44" s="15">
        <f t="shared" si="11"/>
        <v>40.462499999999999</v>
      </c>
      <c r="Y44" s="16">
        <f t="shared" si="2"/>
        <v>1.248</v>
      </c>
      <c r="Z44" s="15">
        <f t="shared" si="12"/>
        <v>3.8844000000000003</v>
      </c>
      <c r="AA44" s="12">
        <f>X44+T44</f>
        <v>105.46250000000001</v>
      </c>
      <c r="AB44" s="15">
        <f t="shared" si="13"/>
        <v>10.124400000000001</v>
      </c>
      <c r="AC44" s="17">
        <f t="shared" si="14"/>
        <v>0.46548965517241386</v>
      </c>
      <c r="AD44" s="23" t="s">
        <v>234</v>
      </c>
      <c r="AE44" s="14" t="s">
        <v>650</v>
      </c>
      <c r="AF44" s="14" t="s">
        <v>496</v>
      </c>
      <c r="AG44" s="14" t="s">
        <v>651</v>
      </c>
      <c r="AH44" s="14" t="s">
        <v>652</v>
      </c>
    </row>
    <row r="45" spans="1:34" s="14" customFormat="1" ht="28.8" x14ac:dyDescent="0.3">
      <c r="A45" s="19">
        <v>45812</v>
      </c>
      <c r="B45" s="14" t="s">
        <v>73</v>
      </c>
      <c r="C45" s="14" t="s">
        <v>60</v>
      </c>
      <c r="D45" s="14" t="s">
        <v>61</v>
      </c>
      <c r="E45" s="14" t="s">
        <v>62</v>
      </c>
      <c r="F45" s="14" t="s">
        <v>63</v>
      </c>
      <c r="G45" s="14" t="s">
        <v>64</v>
      </c>
      <c r="H45" s="20">
        <v>3698</v>
      </c>
      <c r="I45" s="14" t="s">
        <v>74</v>
      </c>
      <c r="K45" s="21"/>
      <c r="L45" s="19">
        <v>45352</v>
      </c>
      <c r="M45" s="19">
        <v>47634</v>
      </c>
      <c r="N45" s="19"/>
      <c r="O45" s="14">
        <v>75</v>
      </c>
      <c r="P45" s="22">
        <v>21</v>
      </c>
      <c r="Q45" s="10">
        <v>16.87</v>
      </c>
      <c r="R45" s="10">
        <f t="shared" si="10"/>
        <v>37.870000000000005</v>
      </c>
      <c r="S45" s="15">
        <v>0.5</v>
      </c>
      <c r="T45" s="12">
        <v>20</v>
      </c>
      <c r="U45" s="10">
        <f t="shared" si="0"/>
        <v>3.2</v>
      </c>
      <c r="V45" s="26">
        <v>9</v>
      </c>
      <c r="W45" s="14" t="s">
        <v>40</v>
      </c>
      <c r="X45" s="15">
        <f t="shared" si="11"/>
        <v>28.402500000000003</v>
      </c>
      <c r="Y45" s="16">
        <f t="shared" si="2"/>
        <v>1.44</v>
      </c>
      <c r="Z45" s="15">
        <f t="shared" si="12"/>
        <v>4.5444000000000004</v>
      </c>
      <c r="AA45" s="12">
        <f>T45+X45</f>
        <v>48.402500000000003</v>
      </c>
      <c r="AB45" s="15">
        <f t="shared" si="13"/>
        <v>7.7444000000000006</v>
      </c>
      <c r="AC45" s="17">
        <f t="shared" si="14"/>
        <v>0.36878095238095243</v>
      </c>
      <c r="AD45" s="23"/>
      <c r="AF45" s="14" t="s">
        <v>67</v>
      </c>
      <c r="AH45" s="14" t="s">
        <v>65</v>
      </c>
    </row>
    <row r="46" spans="1:34" s="14" customFormat="1" ht="28.8" x14ac:dyDescent="0.3">
      <c r="A46" s="19">
        <v>44749</v>
      </c>
      <c r="B46" s="14" t="s">
        <v>615</v>
      </c>
      <c r="C46" s="14" t="s">
        <v>585</v>
      </c>
      <c r="D46" s="14" t="s">
        <v>586</v>
      </c>
      <c r="E46" s="14" t="s">
        <v>62</v>
      </c>
      <c r="F46" s="14" t="s">
        <v>63</v>
      </c>
      <c r="G46" s="14" t="s">
        <v>64</v>
      </c>
      <c r="H46" s="20">
        <v>15035</v>
      </c>
      <c r="I46" s="14" t="s">
        <v>39</v>
      </c>
      <c r="K46" s="21"/>
      <c r="L46" s="19">
        <v>44866</v>
      </c>
      <c r="M46" s="19">
        <v>48975</v>
      </c>
      <c r="N46" s="19"/>
      <c r="O46" s="14">
        <v>135</v>
      </c>
      <c r="P46" s="22">
        <v>17</v>
      </c>
      <c r="Q46" s="10">
        <v>16.18</v>
      </c>
      <c r="R46" s="10">
        <f t="shared" si="10"/>
        <v>33.18</v>
      </c>
      <c r="S46" s="15">
        <v>0.5</v>
      </c>
      <c r="T46" s="12">
        <v>80</v>
      </c>
      <c r="U46" s="10">
        <f t="shared" si="0"/>
        <v>7.1111111111111107</v>
      </c>
      <c r="V46" s="26">
        <v>15</v>
      </c>
      <c r="W46" s="14" t="s">
        <v>40</v>
      </c>
      <c r="X46" s="15">
        <f t="shared" si="11"/>
        <v>41.475000000000001</v>
      </c>
      <c r="Y46" s="16">
        <f t="shared" si="2"/>
        <v>1.3333333333333333</v>
      </c>
      <c r="Z46" s="15">
        <f t="shared" si="12"/>
        <v>3.686666666666667</v>
      </c>
      <c r="AA46" s="12">
        <f>X46+T46</f>
        <v>121.47499999999999</v>
      </c>
      <c r="AB46" s="15">
        <f t="shared" si="13"/>
        <v>10.797777777777778</v>
      </c>
      <c r="AC46" s="17">
        <f t="shared" si="14"/>
        <v>0.63516339869281047</v>
      </c>
      <c r="AD46" s="23" t="s">
        <v>363</v>
      </c>
      <c r="AE46" s="8" t="s">
        <v>91</v>
      </c>
      <c r="AF46" s="14" t="s">
        <v>449</v>
      </c>
      <c r="AH46" s="14" t="s">
        <v>616</v>
      </c>
    </row>
    <row r="47" spans="1:34" s="14" customFormat="1" ht="28.8" x14ac:dyDescent="0.3">
      <c r="A47" s="19">
        <v>45811</v>
      </c>
      <c r="B47" s="14" t="s">
        <v>82</v>
      </c>
      <c r="C47" s="14" t="s">
        <v>77</v>
      </c>
      <c r="D47" s="14" t="s">
        <v>78</v>
      </c>
      <c r="E47" s="14" t="s">
        <v>79</v>
      </c>
      <c r="F47" s="14" t="s">
        <v>37</v>
      </c>
      <c r="G47" s="14" t="s">
        <v>38</v>
      </c>
      <c r="H47" s="25">
        <v>15364</v>
      </c>
      <c r="I47" s="14" t="s">
        <v>39</v>
      </c>
      <c r="K47" s="57"/>
      <c r="L47" s="19">
        <v>45474</v>
      </c>
      <c r="M47" s="19">
        <v>49490</v>
      </c>
      <c r="N47" s="19"/>
      <c r="O47" s="14">
        <v>132</v>
      </c>
      <c r="P47" s="12">
        <v>15</v>
      </c>
      <c r="Q47" s="15">
        <v>11.87</v>
      </c>
      <c r="R47" s="10">
        <f t="shared" si="10"/>
        <v>26.869999999999997</v>
      </c>
      <c r="S47" s="15">
        <v>0.5</v>
      </c>
      <c r="T47" s="12">
        <v>30</v>
      </c>
      <c r="U47" s="10">
        <f t="shared" si="0"/>
        <v>2.7272727272727271</v>
      </c>
      <c r="V47" s="13">
        <v>12</v>
      </c>
      <c r="W47" s="52" t="s">
        <v>40</v>
      </c>
      <c r="X47" s="15">
        <f t="shared" si="11"/>
        <v>26.869999999999997</v>
      </c>
      <c r="Y47" s="16">
        <f t="shared" si="2"/>
        <v>1.0909090909090908</v>
      </c>
      <c r="Z47" s="15">
        <f t="shared" si="12"/>
        <v>2.4427272727272724</v>
      </c>
      <c r="AA47" s="12">
        <f>X47+T47</f>
        <v>56.87</v>
      </c>
      <c r="AB47" s="15">
        <f t="shared" si="13"/>
        <v>5.17</v>
      </c>
      <c r="AC47" s="17">
        <f t="shared" si="14"/>
        <v>0.34466666666666668</v>
      </c>
      <c r="AD47" s="23" t="s">
        <v>83</v>
      </c>
      <c r="AE47" s="14" t="s">
        <v>42</v>
      </c>
      <c r="AF47" s="14" t="s">
        <v>84</v>
      </c>
      <c r="AH47" s="14" t="s">
        <v>85</v>
      </c>
    </row>
    <row r="48" spans="1:34" s="14" customFormat="1" ht="28.8" x14ac:dyDescent="0.3">
      <c r="A48" s="19">
        <v>44433</v>
      </c>
      <c r="B48" s="14" t="s">
        <v>768</v>
      </c>
      <c r="C48" s="14" t="s">
        <v>769</v>
      </c>
      <c r="D48" s="14" t="s">
        <v>770</v>
      </c>
      <c r="E48" s="14" t="s">
        <v>144</v>
      </c>
      <c r="F48" s="14" t="s">
        <v>37</v>
      </c>
      <c r="G48" s="14" t="s">
        <v>64</v>
      </c>
      <c r="H48" s="20">
        <v>5896</v>
      </c>
      <c r="I48" s="14" t="s">
        <v>74</v>
      </c>
      <c r="K48" s="21"/>
      <c r="L48" s="19">
        <v>44287</v>
      </c>
      <c r="M48" s="19">
        <v>48182</v>
      </c>
      <c r="N48" s="19"/>
      <c r="O48" s="14">
        <v>128</v>
      </c>
      <c r="P48" s="22">
        <v>17</v>
      </c>
      <c r="Q48" s="10">
        <v>17.52</v>
      </c>
      <c r="R48" s="10">
        <f t="shared" si="10"/>
        <v>34.519999999999996</v>
      </c>
      <c r="S48" s="15">
        <v>0.5</v>
      </c>
      <c r="T48" s="12">
        <v>20</v>
      </c>
      <c r="U48" s="10">
        <f t="shared" si="0"/>
        <v>1.875</v>
      </c>
      <c r="V48" s="26">
        <v>8</v>
      </c>
      <c r="W48" s="14" t="s">
        <v>40</v>
      </c>
      <c r="X48" s="15">
        <f t="shared" si="11"/>
        <v>23.013333333333328</v>
      </c>
      <c r="Y48" s="16">
        <f t="shared" si="2"/>
        <v>0.75</v>
      </c>
      <c r="Z48" s="15">
        <f t="shared" si="12"/>
        <v>2.1574999999999998</v>
      </c>
      <c r="AA48" s="12">
        <f>T48+X48</f>
        <v>43.013333333333328</v>
      </c>
      <c r="AB48" s="15">
        <f t="shared" si="13"/>
        <v>4.0324999999999998</v>
      </c>
      <c r="AC48" s="17">
        <f t="shared" si="14"/>
        <v>0.23720588235294116</v>
      </c>
      <c r="AD48" s="23" t="s">
        <v>771</v>
      </c>
    </row>
    <row r="49" spans="1:34" s="14" customFormat="1" ht="43.2" x14ac:dyDescent="0.3">
      <c r="A49" s="19">
        <v>44834</v>
      </c>
      <c r="B49" s="14" t="s">
        <v>555</v>
      </c>
      <c r="C49" s="14" t="s">
        <v>556</v>
      </c>
      <c r="D49" s="14" t="s">
        <v>557</v>
      </c>
      <c r="E49" s="14" t="s">
        <v>558</v>
      </c>
      <c r="F49" s="14" t="s">
        <v>37</v>
      </c>
      <c r="G49" s="14" t="s">
        <v>38</v>
      </c>
      <c r="H49" s="20">
        <v>32595</v>
      </c>
      <c r="I49" s="14" t="s">
        <v>212</v>
      </c>
      <c r="K49" s="21">
        <v>44927</v>
      </c>
      <c r="L49" s="19">
        <v>44621</v>
      </c>
      <c r="M49" s="19">
        <v>46691</v>
      </c>
      <c r="N49" s="19"/>
      <c r="O49" s="14">
        <v>68</v>
      </c>
      <c r="P49" s="22"/>
      <c r="Q49" s="10"/>
      <c r="R49" s="10">
        <f t="shared" si="10"/>
        <v>0</v>
      </c>
      <c r="S49" s="11">
        <v>0.03</v>
      </c>
      <c r="T49" s="12">
        <v>0</v>
      </c>
      <c r="U49" s="10">
        <f t="shared" si="0"/>
        <v>0</v>
      </c>
      <c r="V49" s="26">
        <v>6</v>
      </c>
      <c r="W49" s="14" t="s">
        <v>40</v>
      </c>
      <c r="X49" s="15">
        <f t="shared" si="11"/>
        <v>0</v>
      </c>
      <c r="Y49" s="16">
        <f t="shared" si="2"/>
        <v>1.0588235294117647</v>
      </c>
      <c r="Z49" s="15">
        <f t="shared" si="12"/>
        <v>0</v>
      </c>
      <c r="AA49" s="12">
        <f>X49+T49</f>
        <v>0</v>
      </c>
      <c r="AB49" s="15">
        <f t="shared" si="13"/>
        <v>0</v>
      </c>
      <c r="AC49" s="17" t="e">
        <f t="shared" si="14"/>
        <v>#DIV/0!</v>
      </c>
      <c r="AD49" s="23" t="s">
        <v>559</v>
      </c>
      <c r="AE49" s="8" t="s">
        <v>91</v>
      </c>
      <c r="AF49" s="14" t="s">
        <v>560</v>
      </c>
      <c r="AG49" s="14" t="s">
        <v>561</v>
      </c>
      <c r="AH49" s="14" t="s">
        <v>562</v>
      </c>
    </row>
    <row r="50" spans="1:34" s="14" customFormat="1" ht="86.4" x14ac:dyDescent="0.3">
      <c r="A50" s="19">
        <v>44980</v>
      </c>
      <c r="B50" s="14" t="s">
        <v>421</v>
      </c>
      <c r="C50" s="14" t="s">
        <v>422</v>
      </c>
      <c r="D50" s="14" t="s">
        <v>423</v>
      </c>
      <c r="E50" s="14" t="s">
        <v>89</v>
      </c>
      <c r="F50" s="14" t="s">
        <v>90</v>
      </c>
      <c r="G50" s="14" t="s">
        <v>64</v>
      </c>
      <c r="H50" s="20">
        <v>20794</v>
      </c>
      <c r="I50" s="14" t="s">
        <v>414</v>
      </c>
      <c r="K50" s="21"/>
      <c r="L50" s="19">
        <v>44927</v>
      </c>
      <c r="M50" s="19">
        <v>47756</v>
      </c>
      <c r="N50" s="19"/>
      <c r="O50" s="14">
        <v>93</v>
      </c>
      <c r="P50" s="22">
        <v>16.5</v>
      </c>
      <c r="Q50" s="10">
        <v>13.83</v>
      </c>
      <c r="R50" s="10">
        <f t="shared" si="10"/>
        <v>30.33</v>
      </c>
      <c r="S50" s="15">
        <v>0.5</v>
      </c>
      <c r="T50" s="12">
        <v>7.5</v>
      </c>
      <c r="U50" s="10">
        <f t="shared" si="0"/>
        <v>0.967741935483871</v>
      </c>
      <c r="V50" s="26">
        <v>1</v>
      </c>
      <c r="W50" s="14" t="s">
        <v>40</v>
      </c>
      <c r="X50" s="15">
        <f t="shared" si="11"/>
        <v>2.5274999999999999</v>
      </c>
      <c r="Y50" s="16">
        <f t="shared" si="2"/>
        <v>0.12903225806451613</v>
      </c>
      <c r="Z50" s="15">
        <f t="shared" si="12"/>
        <v>0.3261290322580645</v>
      </c>
      <c r="AA50" s="12">
        <f t="shared" ref="AA50:AA55" si="15">T50+X50</f>
        <v>10.0275</v>
      </c>
      <c r="AB50" s="15">
        <f t="shared" si="13"/>
        <v>1.2938709677419356</v>
      </c>
      <c r="AC50" s="17">
        <f t="shared" si="14"/>
        <v>7.8416422287390028E-2</v>
      </c>
      <c r="AD50" s="23" t="s">
        <v>424</v>
      </c>
      <c r="AE50" s="14" t="s">
        <v>42</v>
      </c>
      <c r="AF50" s="14" t="s">
        <v>425</v>
      </c>
      <c r="AG50" s="14" t="s">
        <v>426</v>
      </c>
      <c r="AH50" s="14" t="s">
        <v>387</v>
      </c>
    </row>
    <row r="51" spans="1:34" s="14" customFormat="1" x14ac:dyDescent="0.3">
      <c r="A51" s="19">
        <v>44957</v>
      </c>
      <c r="B51" s="14" t="s">
        <v>450</v>
      </c>
      <c r="C51" s="14" t="s">
        <v>451</v>
      </c>
      <c r="D51" s="14" t="s">
        <v>452</v>
      </c>
      <c r="E51" s="14" t="s">
        <v>336</v>
      </c>
      <c r="F51" s="14" t="s">
        <v>63</v>
      </c>
      <c r="G51" s="14" t="s">
        <v>64</v>
      </c>
      <c r="H51" s="20">
        <v>9404</v>
      </c>
      <c r="I51" s="14" t="s">
        <v>39</v>
      </c>
      <c r="K51" s="21"/>
      <c r="L51" s="19">
        <v>44866</v>
      </c>
      <c r="M51" s="19">
        <v>48975</v>
      </c>
      <c r="N51" s="19"/>
      <c r="O51" s="14">
        <v>135</v>
      </c>
      <c r="P51" s="22">
        <v>14.5</v>
      </c>
      <c r="Q51" s="10">
        <v>10.8</v>
      </c>
      <c r="R51" s="10">
        <f t="shared" si="10"/>
        <v>25.3</v>
      </c>
      <c r="S51" s="15">
        <v>0.5</v>
      </c>
      <c r="T51" s="12">
        <v>50</v>
      </c>
      <c r="U51" s="10">
        <f t="shared" si="0"/>
        <v>4.4444444444444446</v>
      </c>
      <c r="V51" s="26">
        <v>15</v>
      </c>
      <c r="W51" s="14" t="s">
        <v>40</v>
      </c>
      <c r="X51" s="15">
        <f t="shared" si="11"/>
        <v>31.625</v>
      </c>
      <c r="Y51" s="16">
        <f t="shared" si="2"/>
        <v>1.3333333333333333</v>
      </c>
      <c r="Z51" s="15">
        <f t="shared" si="12"/>
        <v>2.8111111111111109</v>
      </c>
      <c r="AA51" s="12">
        <f t="shared" si="15"/>
        <v>81.625</v>
      </c>
      <c r="AB51" s="15">
        <f t="shared" si="13"/>
        <v>7.2555555555555555</v>
      </c>
      <c r="AC51" s="17">
        <f t="shared" si="14"/>
        <v>0.50038314176245213</v>
      </c>
      <c r="AD51" s="23" t="s">
        <v>453</v>
      </c>
      <c r="AE51" s="8" t="s">
        <v>91</v>
      </c>
      <c r="AF51" s="14" t="s">
        <v>454</v>
      </c>
      <c r="AG51" s="14" t="s">
        <v>354</v>
      </c>
      <c r="AH51" s="14" t="s">
        <v>449</v>
      </c>
    </row>
    <row r="52" spans="1:34" s="14" customFormat="1" ht="43.2" x14ac:dyDescent="0.3">
      <c r="A52" s="19">
        <v>44147</v>
      </c>
      <c r="B52" s="14" t="s">
        <v>878</v>
      </c>
      <c r="C52" s="14" t="s">
        <v>879</v>
      </c>
      <c r="D52" s="14" t="s">
        <v>880</v>
      </c>
      <c r="E52" s="14" t="s">
        <v>357</v>
      </c>
      <c r="F52" s="14" t="s">
        <v>37</v>
      </c>
      <c r="G52" s="14" t="s">
        <v>38</v>
      </c>
      <c r="H52" s="20">
        <v>71089</v>
      </c>
      <c r="I52" s="14" t="s">
        <v>74</v>
      </c>
      <c r="K52" s="21">
        <v>44105</v>
      </c>
      <c r="L52" s="19">
        <v>44075</v>
      </c>
      <c r="M52" s="19">
        <v>48610</v>
      </c>
      <c r="N52" s="19"/>
      <c r="O52" s="14">
        <v>149</v>
      </c>
      <c r="P52" s="22">
        <v>11</v>
      </c>
      <c r="Q52" s="10">
        <v>3.4</v>
      </c>
      <c r="R52" s="10">
        <f t="shared" si="10"/>
        <v>14.4</v>
      </c>
      <c r="S52" s="15">
        <v>0.5</v>
      </c>
      <c r="T52" s="12">
        <v>0</v>
      </c>
      <c r="U52" s="10">
        <f t="shared" si="0"/>
        <v>0</v>
      </c>
      <c r="V52" s="26">
        <v>33</v>
      </c>
      <c r="W52" s="14" t="s">
        <v>40</v>
      </c>
      <c r="X52" s="15">
        <f t="shared" si="11"/>
        <v>39.6</v>
      </c>
      <c r="Y52" s="16">
        <f t="shared" si="2"/>
        <v>2.6577181208053693</v>
      </c>
      <c r="Z52" s="15">
        <f t="shared" si="12"/>
        <v>3.1892617449664433</v>
      </c>
      <c r="AA52" s="12">
        <f t="shared" si="15"/>
        <v>39.6</v>
      </c>
      <c r="AB52" s="15">
        <f t="shared" si="13"/>
        <v>3.1892617449664433</v>
      </c>
      <c r="AC52" s="17">
        <f t="shared" si="14"/>
        <v>0.28993288590604033</v>
      </c>
      <c r="AD52" s="23" t="s">
        <v>881</v>
      </c>
      <c r="AE52" s="8" t="s">
        <v>91</v>
      </c>
      <c r="AF52" s="14" t="s">
        <v>882</v>
      </c>
      <c r="AG52" s="14" t="s">
        <v>883</v>
      </c>
      <c r="AH52" s="14" t="s">
        <v>441</v>
      </c>
    </row>
    <row r="53" spans="1:34" s="14" customFormat="1" x14ac:dyDescent="0.3">
      <c r="A53" s="19">
        <v>44980</v>
      </c>
      <c r="B53" s="14" t="s">
        <v>403</v>
      </c>
      <c r="C53" s="14" t="s">
        <v>110</v>
      </c>
      <c r="D53" s="14" t="s">
        <v>111</v>
      </c>
      <c r="E53" s="14" t="s">
        <v>97</v>
      </c>
      <c r="F53" s="14" t="s">
        <v>97</v>
      </c>
      <c r="G53" s="14" t="s">
        <v>64</v>
      </c>
      <c r="H53" s="20">
        <v>4549</v>
      </c>
      <c r="I53" s="14" t="s">
        <v>39</v>
      </c>
      <c r="K53" s="21">
        <v>44958</v>
      </c>
      <c r="L53" s="19">
        <v>44986</v>
      </c>
      <c r="M53" s="19">
        <v>46965</v>
      </c>
      <c r="N53" s="19"/>
      <c r="O53" s="14">
        <v>65</v>
      </c>
      <c r="P53" s="22">
        <v>27</v>
      </c>
      <c r="Q53" s="10"/>
      <c r="R53" s="10">
        <f t="shared" si="10"/>
        <v>27</v>
      </c>
      <c r="S53" s="15">
        <v>0.5</v>
      </c>
      <c r="T53" s="12">
        <v>27.5</v>
      </c>
      <c r="U53" s="10">
        <f t="shared" si="0"/>
        <v>5.0769230769230766</v>
      </c>
      <c r="V53" s="26">
        <v>11</v>
      </c>
      <c r="W53" s="14" t="s">
        <v>40</v>
      </c>
      <c r="X53" s="15">
        <f t="shared" si="11"/>
        <v>24.75</v>
      </c>
      <c r="Y53" s="16">
        <f t="shared" si="2"/>
        <v>2.0307692307692307</v>
      </c>
      <c r="Z53" s="15">
        <f t="shared" si="12"/>
        <v>4.569230769230769</v>
      </c>
      <c r="AA53" s="12">
        <f t="shared" si="15"/>
        <v>52.25</v>
      </c>
      <c r="AB53" s="15">
        <f t="shared" si="13"/>
        <v>9.6461538461538456</v>
      </c>
      <c r="AC53" s="17">
        <f t="shared" si="14"/>
        <v>0.35726495726495727</v>
      </c>
      <c r="AD53" s="23" t="s">
        <v>404</v>
      </c>
      <c r="AE53" s="8" t="s">
        <v>91</v>
      </c>
      <c r="AF53" s="14" t="s">
        <v>204</v>
      </c>
      <c r="AH53" s="14" t="s">
        <v>387</v>
      </c>
    </row>
    <row r="54" spans="1:34" s="14" customFormat="1" ht="28.8" x14ac:dyDescent="0.3">
      <c r="A54" s="7">
        <v>45420</v>
      </c>
      <c r="B54" s="8" t="s">
        <v>226</v>
      </c>
      <c r="C54" s="8" t="s">
        <v>128</v>
      </c>
      <c r="D54" s="8" t="s">
        <v>227</v>
      </c>
      <c r="E54" s="8" t="s">
        <v>103</v>
      </c>
      <c r="F54" s="8" t="s">
        <v>37</v>
      </c>
      <c r="G54" s="8" t="s">
        <v>38</v>
      </c>
      <c r="H54" s="9">
        <v>10558</v>
      </c>
      <c r="I54" s="8" t="s">
        <v>177</v>
      </c>
      <c r="J54" s="8"/>
      <c r="K54" s="53">
        <v>45383</v>
      </c>
      <c r="L54" s="7">
        <v>45474</v>
      </c>
      <c r="M54" s="7">
        <v>47452</v>
      </c>
      <c r="N54" s="7"/>
      <c r="O54" s="8">
        <v>65</v>
      </c>
      <c r="P54" s="54">
        <v>23.75</v>
      </c>
      <c r="Q54" s="55">
        <v>12.83</v>
      </c>
      <c r="R54" s="55">
        <v>36.58</v>
      </c>
      <c r="S54" s="56">
        <v>2.5000000000000001E-2</v>
      </c>
      <c r="T54" s="12">
        <v>22</v>
      </c>
      <c r="U54" s="10">
        <f t="shared" si="0"/>
        <v>4.0615384615384613</v>
      </c>
      <c r="V54" s="26">
        <v>5</v>
      </c>
      <c r="W54" s="8" t="s">
        <v>40</v>
      </c>
      <c r="X54" s="15">
        <f t="shared" si="11"/>
        <v>15.241666666666667</v>
      </c>
      <c r="Y54" s="16">
        <f t="shared" si="2"/>
        <v>0.92307692307692302</v>
      </c>
      <c r="Z54" s="15">
        <f t="shared" si="12"/>
        <v>2.8138461538461539</v>
      </c>
      <c r="AA54" s="12">
        <f t="shared" si="15"/>
        <v>37.241666666666667</v>
      </c>
      <c r="AB54" s="15">
        <f t="shared" si="13"/>
        <v>6.8753846153846148</v>
      </c>
      <c r="AC54" s="17">
        <f t="shared" si="14"/>
        <v>0.28948987854251007</v>
      </c>
      <c r="AD54" s="18" t="s">
        <v>228</v>
      </c>
      <c r="AE54" s="14" t="s">
        <v>149</v>
      </c>
      <c r="AF54" s="14" t="s">
        <v>229</v>
      </c>
      <c r="AG54" s="8"/>
      <c r="AH54" s="8" t="s">
        <v>230</v>
      </c>
    </row>
    <row r="55" spans="1:34" s="14" customFormat="1" ht="28.8" x14ac:dyDescent="0.3">
      <c r="A55" s="19">
        <v>44292</v>
      </c>
      <c r="B55" s="14" t="s">
        <v>822</v>
      </c>
      <c r="C55" s="14" t="s">
        <v>823</v>
      </c>
      <c r="D55" s="14" t="s">
        <v>824</v>
      </c>
      <c r="E55" s="14" t="s">
        <v>163</v>
      </c>
      <c r="F55" s="14" t="s">
        <v>90</v>
      </c>
      <c r="G55" s="14" t="s">
        <v>64</v>
      </c>
      <c r="H55" s="20">
        <v>2806</v>
      </c>
      <c r="I55" s="14" t="s">
        <v>39</v>
      </c>
      <c r="K55" s="21"/>
      <c r="L55" s="19">
        <v>43983</v>
      </c>
      <c r="M55" s="19">
        <v>46691</v>
      </c>
      <c r="N55" s="19"/>
      <c r="O55" s="14">
        <v>89</v>
      </c>
      <c r="P55" s="22">
        <v>7.61</v>
      </c>
      <c r="Q55" s="10">
        <v>10.89</v>
      </c>
      <c r="R55" s="10">
        <f>P55+Q55</f>
        <v>18.5</v>
      </c>
      <c r="S55" s="11">
        <v>3.5000000000000003E-2</v>
      </c>
      <c r="T55" s="12">
        <v>3</v>
      </c>
      <c r="U55" s="10">
        <f t="shared" si="0"/>
        <v>0.4044943820224719</v>
      </c>
      <c r="V55" s="26">
        <v>5</v>
      </c>
      <c r="W55" s="14" t="s">
        <v>40</v>
      </c>
      <c r="X55" s="15">
        <f t="shared" si="11"/>
        <v>7.7083333333333339</v>
      </c>
      <c r="Y55" s="16">
        <f t="shared" si="2"/>
        <v>0.6741573033707865</v>
      </c>
      <c r="Z55" s="15">
        <f t="shared" si="12"/>
        <v>1.0393258426966292</v>
      </c>
      <c r="AA55" s="12">
        <f t="shared" si="15"/>
        <v>10.708333333333334</v>
      </c>
      <c r="AB55" s="15">
        <f t="shared" si="13"/>
        <v>1.4438202247191012</v>
      </c>
      <c r="AC55" s="17">
        <f t="shared" si="14"/>
        <v>0.18972670495651789</v>
      </c>
      <c r="AD55" s="23" t="s">
        <v>825</v>
      </c>
      <c r="AE55" s="14" t="s">
        <v>186</v>
      </c>
      <c r="AG55" s="14" t="s">
        <v>826</v>
      </c>
      <c r="AH55" s="14" t="s">
        <v>827</v>
      </c>
    </row>
    <row r="56" spans="1:34" s="14" customFormat="1" x14ac:dyDescent="0.3">
      <c r="A56" s="19">
        <v>45281</v>
      </c>
      <c r="B56" s="14" t="s">
        <v>268</v>
      </c>
      <c r="C56" s="14" t="s">
        <v>60</v>
      </c>
      <c r="D56" s="14" t="s">
        <v>61</v>
      </c>
      <c r="E56" s="14" t="s">
        <v>62</v>
      </c>
      <c r="F56" s="14" t="s">
        <v>63</v>
      </c>
      <c r="G56" s="14" t="s">
        <v>64</v>
      </c>
      <c r="H56" s="27">
        <v>26239</v>
      </c>
      <c r="I56" s="19" t="s">
        <v>74</v>
      </c>
      <c r="J56" s="19"/>
      <c r="K56" s="21"/>
      <c r="L56" s="19">
        <v>44470</v>
      </c>
      <c r="M56" s="19">
        <v>46934</v>
      </c>
      <c r="N56" s="19"/>
      <c r="O56" s="14">
        <v>81</v>
      </c>
      <c r="P56" s="12">
        <v>21.75</v>
      </c>
      <c r="Q56" s="15">
        <v>16.87</v>
      </c>
      <c r="R56" s="10">
        <f>P56+Q56</f>
        <v>38.620000000000005</v>
      </c>
      <c r="S56" s="15">
        <v>0.5</v>
      </c>
      <c r="T56" s="12">
        <v>30</v>
      </c>
      <c r="U56" s="10">
        <f t="shared" si="0"/>
        <v>4.4444444444444446</v>
      </c>
      <c r="V56" s="26">
        <v>9</v>
      </c>
      <c r="W56" s="52" t="s">
        <v>40</v>
      </c>
      <c r="X56" s="15">
        <f t="shared" si="11"/>
        <v>28.965000000000003</v>
      </c>
      <c r="Y56" s="16">
        <f t="shared" si="2"/>
        <v>1.3333333333333333</v>
      </c>
      <c r="Z56" s="15">
        <f t="shared" si="12"/>
        <v>4.2911111111111113</v>
      </c>
      <c r="AA56" s="12">
        <f>X56+T56</f>
        <v>58.965000000000003</v>
      </c>
      <c r="AB56" s="15">
        <f t="shared" si="13"/>
        <v>8.7355555555555569</v>
      </c>
      <c r="AC56" s="17">
        <f t="shared" si="14"/>
        <v>0.40163473818646239</v>
      </c>
      <c r="AD56" s="12"/>
      <c r="AE56" s="8" t="s">
        <v>91</v>
      </c>
      <c r="AF56" s="14" t="s">
        <v>269</v>
      </c>
    </row>
    <row r="57" spans="1:34" s="14" customFormat="1" ht="28.8" x14ac:dyDescent="0.3">
      <c r="A57" s="19">
        <v>44980</v>
      </c>
      <c r="B57" s="14" t="s">
        <v>415</v>
      </c>
      <c r="C57" s="14" t="s">
        <v>87</v>
      </c>
      <c r="D57" s="14" t="s">
        <v>316</v>
      </c>
      <c r="E57" s="14" t="s">
        <v>89</v>
      </c>
      <c r="F57" s="14" t="s">
        <v>90</v>
      </c>
      <c r="G57" s="14" t="s">
        <v>64</v>
      </c>
      <c r="H57" s="20">
        <v>22841</v>
      </c>
      <c r="I57" s="14" t="s">
        <v>414</v>
      </c>
      <c r="K57" s="21"/>
      <c r="L57" s="19">
        <v>44958</v>
      </c>
      <c r="M57" s="19">
        <v>47726</v>
      </c>
      <c r="N57" s="19"/>
      <c r="O57" s="14">
        <v>91</v>
      </c>
      <c r="P57" s="22">
        <v>15</v>
      </c>
      <c r="Q57" s="10">
        <v>14.28</v>
      </c>
      <c r="R57" s="10">
        <f>P57+Q57</f>
        <v>29.28</v>
      </c>
      <c r="S57" s="15">
        <v>0.5</v>
      </c>
      <c r="T57" s="12">
        <v>62</v>
      </c>
      <c r="U57" s="10">
        <f t="shared" si="0"/>
        <v>8.175824175824177</v>
      </c>
      <c r="V57" s="26">
        <v>3</v>
      </c>
      <c r="W57" s="14" t="s">
        <v>40</v>
      </c>
      <c r="X57" s="15">
        <f t="shared" si="11"/>
        <v>7.32</v>
      </c>
      <c r="Y57" s="16">
        <f t="shared" si="2"/>
        <v>0.39560439560439564</v>
      </c>
      <c r="Z57" s="15">
        <f t="shared" si="12"/>
        <v>0.96527472527472535</v>
      </c>
      <c r="AA57" s="12">
        <f>T57+X57</f>
        <v>69.319999999999993</v>
      </c>
      <c r="AB57" s="15">
        <f t="shared" si="13"/>
        <v>9.1410989010988999</v>
      </c>
      <c r="AC57" s="17">
        <f t="shared" si="14"/>
        <v>0.60940659340659331</v>
      </c>
      <c r="AD57" s="23" t="s">
        <v>416</v>
      </c>
      <c r="AE57" s="8" t="s">
        <v>91</v>
      </c>
      <c r="AF57" s="14" t="s">
        <v>92</v>
      </c>
      <c r="AH57" s="14" t="s">
        <v>387</v>
      </c>
    </row>
    <row r="58" spans="1:34" s="14" customFormat="1" ht="28.8" x14ac:dyDescent="0.3">
      <c r="A58" s="19">
        <v>43951</v>
      </c>
      <c r="B58" s="14" t="s">
        <v>1044</v>
      </c>
      <c r="C58" s="14" t="s">
        <v>491</v>
      </c>
      <c r="D58" s="14" t="s">
        <v>305</v>
      </c>
      <c r="E58" s="14" t="s">
        <v>144</v>
      </c>
      <c r="F58" s="14" t="s">
        <v>37</v>
      </c>
      <c r="G58" s="14" t="s">
        <v>64</v>
      </c>
      <c r="H58" s="20">
        <v>6987</v>
      </c>
      <c r="I58" s="14" t="s">
        <v>39</v>
      </c>
      <c r="K58" s="21"/>
      <c r="L58" s="19">
        <v>43435</v>
      </c>
      <c r="M58" s="19">
        <v>47452</v>
      </c>
      <c r="N58" s="19"/>
      <c r="O58" s="14">
        <v>132</v>
      </c>
      <c r="P58" s="22">
        <v>14.25</v>
      </c>
      <c r="Q58" s="10">
        <v>12.99</v>
      </c>
      <c r="R58" s="10">
        <f>P58+Q58</f>
        <v>27.240000000000002</v>
      </c>
      <c r="S58" s="11">
        <v>0.03</v>
      </c>
      <c r="T58" s="12">
        <v>50</v>
      </c>
      <c r="U58" s="10">
        <f t="shared" si="0"/>
        <v>4.5454545454545459</v>
      </c>
      <c r="V58" s="26">
        <v>12</v>
      </c>
      <c r="W58" s="14" t="s">
        <v>40</v>
      </c>
      <c r="X58" s="15">
        <f t="shared" si="11"/>
        <v>27.240000000000002</v>
      </c>
      <c r="Y58" s="16">
        <f t="shared" si="2"/>
        <v>1.0909090909090908</v>
      </c>
      <c r="Z58" s="15">
        <f t="shared" si="12"/>
        <v>2.4763636363636365</v>
      </c>
      <c r="AA58" s="12">
        <f>X58+T58</f>
        <v>77.240000000000009</v>
      </c>
      <c r="AB58" s="15">
        <f t="shared" si="13"/>
        <v>7.0218181818181824</v>
      </c>
      <c r="AC58" s="17">
        <f t="shared" si="14"/>
        <v>0.49275917065390756</v>
      </c>
      <c r="AD58" s="23" t="s">
        <v>492</v>
      </c>
      <c r="AE58" s="14" t="s">
        <v>157</v>
      </c>
      <c r="AF58" s="14" t="s">
        <v>1045</v>
      </c>
      <c r="AH58" s="14" t="s">
        <v>899</v>
      </c>
    </row>
    <row r="59" spans="1:34" s="14" customFormat="1" ht="28.8" x14ac:dyDescent="0.3">
      <c r="A59" s="19">
        <v>44307</v>
      </c>
      <c r="B59" s="14" t="s">
        <v>810</v>
      </c>
      <c r="C59" s="14" t="s">
        <v>811</v>
      </c>
      <c r="D59" s="14" t="s">
        <v>622</v>
      </c>
      <c r="E59" s="14" t="s">
        <v>89</v>
      </c>
      <c r="F59" s="14" t="s">
        <v>90</v>
      </c>
      <c r="G59" s="14" t="s">
        <v>64</v>
      </c>
      <c r="H59" s="20">
        <v>6452</v>
      </c>
      <c r="I59" s="14" t="s">
        <v>39</v>
      </c>
      <c r="K59" s="21"/>
      <c r="L59" s="19">
        <v>44409</v>
      </c>
      <c r="M59" s="19">
        <v>47149</v>
      </c>
      <c r="N59" s="19">
        <v>46568</v>
      </c>
      <c r="O59" s="14">
        <v>90</v>
      </c>
      <c r="P59" s="22">
        <v>16.75</v>
      </c>
      <c r="Q59" s="10">
        <v>11.21</v>
      </c>
      <c r="R59" s="10">
        <f>P59+Q59</f>
        <v>27.96</v>
      </c>
      <c r="S59" s="15">
        <v>0.5</v>
      </c>
      <c r="T59" s="12">
        <v>65</v>
      </c>
      <c r="U59" s="10">
        <f t="shared" si="0"/>
        <v>8.6666666666666661</v>
      </c>
      <c r="V59" s="26">
        <v>6</v>
      </c>
      <c r="W59" s="14" t="s">
        <v>40</v>
      </c>
      <c r="X59" s="15">
        <f t="shared" si="11"/>
        <v>13.98</v>
      </c>
      <c r="Y59" s="16">
        <f t="shared" si="2"/>
        <v>0.8</v>
      </c>
      <c r="Z59" s="15">
        <f t="shared" si="12"/>
        <v>1.8640000000000001</v>
      </c>
      <c r="AA59" s="12">
        <f>X59+T59</f>
        <v>78.98</v>
      </c>
      <c r="AB59" s="15">
        <f t="shared" si="13"/>
        <v>10.530666666666667</v>
      </c>
      <c r="AC59" s="17">
        <f t="shared" si="14"/>
        <v>0.62869651741293531</v>
      </c>
      <c r="AD59" s="23" t="s">
        <v>439</v>
      </c>
      <c r="AE59" s="14" t="s">
        <v>778</v>
      </c>
      <c r="AF59" s="14" t="s">
        <v>779</v>
      </c>
      <c r="AG59" s="14" t="s">
        <v>354</v>
      </c>
      <c r="AH59" s="14" t="s">
        <v>812</v>
      </c>
    </row>
    <row r="60" spans="1:34" s="14" customFormat="1" ht="28.8" x14ac:dyDescent="0.3">
      <c r="A60" s="19">
        <v>45279</v>
      </c>
      <c r="B60" s="14" t="s">
        <v>299</v>
      </c>
      <c r="C60" s="14" t="s">
        <v>300</v>
      </c>
      <c r="D60" s="14" t="s">
        <v>143</v>
      </c>
      <c r="E60" s="14" t="s">
        <v>144</v>
      </c>
      <c r="F60" s="14" t="s">
        <v>37</v>
      </c>
      <c r="G60" s="14" t="s">
        <v>64</v>
      </c>
      <c r="H60" s="20">
        <v>77863</v>
      </c>
      <c r="I60" s="14" t="s">
        <v>39</v>
      </c>
      <c r="K60" s="21"/>
      <c r="L60" s="19">
        <v>45323</v>
      </c>
      <c r="M60" s="19">
        <v>49340</v>
      </c>
      <c r="N60" s="19"/>
      <c r="O60" s="14">
        <v>132</v>
      </c>
      <c r="P60" s="12">
        <v>22</v>
      </c>
      <c r="Q60" s="15"/>
      <c r="R60" s="10">
        <v>40.86</v>
      </c>
      <c r="S60" s="15">
        <v>0.5</v>
      </c>
      <c r="T60" s="12">
        <v>75</v>
      </c>
      <c r="U60" s="10">
        <f t="shared" si="0"/>
        <v>6.8181818181818183</v>
      </c>
      <c r="V60" s="26">
        <v>15</v>
      </c>
      <c r="W60" s="14" t="s">
        <v>40</v>
      </c>
      <c r="X60" s="15">
        <f t="shared" si="11"/>
        <v>51.075000000000003</v>
      </c>
      <c r="Y60" s="16">
        <f t="shared" si="2"/>
        <v>1.3636363636363635</v>
      </c>
      <c r="Z60" s="15">
        <f t="shared" si="12"/>
        <v>4.6431818181818185</v>
      </c>
      <c r="AA60" s="12">
        <f>X60+T60</f>
        <v>126.075</v>
      </c>
      <c r="AB60" s="15">
        <f t="shared" si="13"/>
        <v>11.461363636363636</v>
      </c>
      <c r="AC60" s="17">
        <f t="shared" si="14"/>
        <v>0.52097107438016532</v>
      </c>
      <c r="AD60" s="23" t="s">
        <v>145</v>
      </c>
      <c r="AE60" s="14" t="s">
        <v>98</v>
      </c>
      <c r="AF60" s="14" t="s">
        <v>301</v>
      </c>
      <c r="AG60" s="14" t="s">
        <v>302</v>
      </c>
      <c r="AH60" s="14" t="s">
        <v>49</v>
      </c>
    </row>
    <row r="61" spans="1:34" s="14" customFormat="1" ht="28.8" x14ac:dyDescent="0.3">
      <c r="A61" s="19">
        <v>45664</v>
      </c>
      <c r="B61" s="14" t="s">
        <v>160</v>
      </c>
      <c r="C61" s="14" t="s">
        <v>161</v>
      </c>
      <c r="D61" s="14" t="s">
        <v>162</v>
      </c>
      <c r="E61" s="14" t="s">
        <v>163</v>
      </c>
      <c r="F61" s="14" t="s">
        <v>90</v>
      </c>
      <c r="G61" s="14" t="s">
        <v>64</v>
      </c>
      <c r="H61" s="25">
        <v>23608</v>
      </c>
      <c r="I61" s="14" t="s">
        <v>39</v>
      </c>
      <c r="K61" s="57"/>
      <c r="L61" s="19"/>
      <c r="M61" s="19"/>
      <c r="N61" s="19"/>
      <c r="O61" s="14">
        <v>94</v>
      </c>
      <c r="P61" s="12">
        <v>16</v>
      </c>
      <c r="Q61" s="15"/>
      <c r="R61" s="15">
        <f t="shared" ref="R61:R79" si="16">P61+Q61</f>
        <v>16</v>
      </c>
      <c r="S61" s="15">
        <v>0.5</v>
      </c>
      <c r="T61" s="12">
        <v>80</v>
      </c>
      <c r="U61" s="10">
        <f t="shared" si="0"/>
        <v>10.212765957446809</v>
      </c>
      <c r="V61" s="13">
        <v>10</v>
      </c>
      <c r="W61" s="52" t="s">
        <v>40</v>
      </c>
      <c r="X61" s="15">
        <f t="shared" si="11"/>
        <v>13.333333333333334</v>
      </c>
      <c r="Y61" s="16">
        <f t="shared" si="2"/>
        <v>1.2765957446808511</v>
      </c>
      <c r="Z61" s="15">
        <f t="shared" si="12"/>
        <v>1.7021276595744683</v>
      </c>
      <c r="AA61" s="12">
        <f>T61+X61</f>
        <v>93.333333333333329</v>
      </c>
      <c r="AB61" s="15">
        <f t="shared" si="13"/>
        <v>11.914893617021276</v>
      </c>
      <c r="AC61" s="17">
        <f t="shared" si="14"/>
        <v>0.74468085106382975</v>
      </c>
      <c r="AD61" s="23"/>
      <c r="AE61" s="14" t="s">
        <v>42</v>
      </c>
      <c r="AF61" s="14" t="s">
        <v>164</v>
      </c>
      <c r="AH61" s="14" t="s">
        <v>165</v>
      </c>
    </row>
    <row r="62" spans="1:34" s="14" customFormat="1" ht="28.8" x14ac:dyDescent="0.3">
      <c r="A62" s="19">
        <v>44048</v>
      </c>
      <c r="B62" s="14" t="s">
        <v>917</v>
      </c>
      <c r="C62" s="14" t="s">
        <v>451</v>
      </c>
      <c r="D62" s="14" t="s">
        <v>452</v>
      </c>
      <c r="E62" s="14" t="s">
        <v>336</v>
      </c>
      <c r="F62" s="14" t="s">
        <v>63</v>
      </c>
      <c r="G62" s="14" t="s">
        <v>64</v>
      </c>
      <c r="H62" s="60">
        <v>8006</v>
      </c>
      <c r="I62" s="14" t="s">
        <v>39</v>
      </c>
      <c r="K62" s="21"/>
      <c r="L62" s="19">
        <v>44136</v>
      </c>
      <c r="M62" s="19">
        <v>48091</v>
      </c>
      <c r="N62" s="19"/>
      <c r="O62" s="14">
        <v>130</v>
      </c>
      <c r="P62" s="22">
        <v>12</v>
      </c>
      <c r="Q62" s="10">
        <v>10.92</v>
      </c>
      <c r="R62" s="10">
        <f t="shared" si="16"/>
        <v>22.92</v>
      </c>
      <c r="S62" s="15">
        <v>0.4</v>
      </c>
      <c r="T62" s="12">
        <v>50</v>
      </c>
      <c r="U62" s="10">
        <f t="shared" si="0"/>
        <v>4.615384615384615</v>
      </c>
      <c r="V62" s="26">
        <v>10</v>
      </c>
      <c r="W62" s="14" t="s">
        <v>40</v>
      </c>
      <c r="X62" s="15">
        <f t="shared" si="11"/>
        <v>19.100000000000001</v>
      </c>
      <c r="Y62" s="16">
        <f t="shared" si="2"/>
        <v>0.92307692307692302</v>
      </c>
      <c r="Z62" s="15">
        <f t="shared" si="12"/>
        <v>1.7630769230769232</v>
      </c>
      <c r="AA62" s="12">
        <f>X62+T62</f>
        <v>69.099999999999994</v>
      </c>
      <c r="AB62" s="15">
        <f t="shared" si="13"/>
        <v>6.3784615384615373</v>
      </c>
      <c r="AC62" s="17">
        <f t="shared" si="14"/>
        <v>0.5315384615384614</v>
      </c>
      <c r="AD62" s="23" t="s">
        <v>453</v>
      </c>
      <c r="AE62" s="14" t="s">
        <v>918</v>
      </c>
      <c r="AF62" s="14" t="s">
        <v>919</v>
      </c>
      <c r="AH62" s="14" t="s">
        <v>920</v>
      </c>
    </row>
    <row r="63" spans="1:34" s="14" customFormat="1" ht="28.8" x14ac:dyDescent="0.3">
      <c r="A63" s="19">
        <v>44117</v>
      </c>
      <c r="B63" s="14" t="s">
        <v>894</v>
      </c>
      <c r="C63" s="14" t="s">
        <v>895</v>
      </c>
      <c r="D63" s="14" t="s">
        <v>896</v>
      </c>
      <c r="E63" s="14" t="s">
        <v>120</v>
      </c>
      <c r="F63" s="14" t="s">
        <v>90</v>
      </c>
      <c r="G63" s="14" t="s">
        <v>55</v>
      </c>
      <c r="H63" s="20">
        <v>10655</v>
      </c>
      <c r="I63" s="14" t="s">
        <v>488</v>
      </c>
      <c r="K63" s="21"/>
      <c r="L63" s="19">
        <v>43586</v>
      </c>
      <c r="M63" s="19">
        <v>47391</v>
      </c>
      <c r="N63" s="19"/>
      <c r="O63" s="14">
        <v>125</v>
      </c>
      <c r="P63" s="22">
        <v>11</v>
      </c>
      <c r="Q63" s="10">
        <v>5.75</v>
      </c>
      <c r="R63" s="10">
        <f t="shared" si="16"/>
        <v>16.75</v>
      </c>
      <c r="S63" s="15">
        <v>0.5</v>
      </c>
      <c r="T63" s="12">
        <v>35</v>
      </c>
      <c r="U63" s="10">
        <f t="shared" si="0"/>
        <v>3.3600000000000003</v>
      </c>
      <c r="V63" s="26">
        <v>7</v>
      </c>
      <c r="W63" s="14" t="s">
        <v>40</v>
      </c>
      <c r="X63" s="15">
        <f t="shared" si="11"/>
        <v>9.7708333333333339</v>
      </c>
      <c r="Y63" s="16">
        <f t="shared" si="2"/>
        <v>0.67200000000000004</v>
      </c>
      <c r="Z63" s="15">
        <f t="shared" si="12"/>
        <v>0.93800000000000006</v>
      </c>
      <c r="AA63" s="12">
        <f>X63+T63</f>
        <v>44.770833333333336</v>
      </c>
      <c r="AB63" s="15">
        <f t="shared" si="13"/>
        <v>4.298</v>
      </c>
      <c r="AC63" s="17">
        <f t="shared" si="14"/>
        <v>0.39072727272727276</v>
      </c>
      <c r="AD63" s="23" t="s">
        <v>603</v>
      </c>
      <c r="AG63" s="14" t="s">
        <v>897</v>
      </c>
      <c r="AH63" s="14" t="s">
        <v>898</v>
      </c>
    </row>
    <row r="64" spans="1:34" s="14" customFormat="1" ht="28.8" x14ac:dyDescent="0.3">
      <c r="A64" s="19">
        <v>44987</v>
      </c>
      <c r="B64" s="14" t="s">
        <v>365</v>
      </c>
      <c r="C64" s="14" t="s">
        <v>147</v>
      </c>
      <c r="D64" s="14" t="s">
        <v>366</v>
      </c>
      <c r="E64" s="14" t="s">
        <v>89</v>
      </c>
      <c r="F64" s="14" t="s">
        <v>90</v>
      </c>
      <c r="G64" s="14" t="s">
        <v>64</v>
      </c>
      <c r="H64" s="20">
        <v>6233</v>
      </c>
      <c r="I64" s="14" t="s">
        <v>74</v>
      </c>
      <c r="K64" s="21"/>
      <c r="L64" s="19">
        <v>45017</v>
      </c>
      <c r="M64" s="19">
        <v>47879</v>
      </c>
      <c r="N64" s="19"/>
      <c r="O64" s="14">
        <v>94</v>
      </c>
      <c r="P64" s="22">
        <v>15.5</v>
      </c>
      <c r="Q64" s="10"/>
      <c r="R64" s="10">
        <f t="shared" si="16"/>
        <v>15.5</v>
      </c>
      <c r="S64" s="15">
        <v>0.5</v>
      </c>
      <c r="T64" s="12">
        <v>65</v>
      </c>
      <c r="U64" s="10">
        <f t="shared" si="0"/>
        <v>8.297872340425533</v>
      </c>
      <c r="V64" s="26">
        <v>10</v>
      </c>
      <c r="X64" s="15">
        <f t="shared" si="11"/>
        <v>12.916666666666668</v>
      </c>
      <c r="Y64" s="16">
        <f t="shared" si="2"/>
        <v>1.2765957446808511</v>
      </c>
      <c r="Z64" s="15">
        <f t="shared" si="12"/>
        <v>1.6489361702127661</v>
      </c>
      <c r="AA64" s="12">
        <f>T64+X64</f>
        <v>77.916666666666671</v>
      </c>
      <c r="AB64" s="15">
        <f t="shared" si="13"/>
        <v>9.9468085106382986</v>
      </c>
      <c r="AC64" s="17">
        <f t="shared" si="14"/>
        <v>0.64172958133150315</v>
      </c>
      <c r="AD64" s="23" t="s">
        <v>367</v>
      </c>
      <c r="AE64" s="8" t="s">
        <v>91</v>
      </c>
      <c r="AF64" s="14" t="s">
        <v>92</v>
      </c>
    </row>
    <row r="65" spans="1:34" s="14" customFormat="1" ht="28.8" x14ac:dyDescent="0.3">
      <c r="A65" s="19">
        <v>45805</v>
      </c>
      <c r="B65" s="14" t="s">
        <v>139</v>
      </c>
      <c r="C65" s="14" t="s">
        <v>95</v>
      </c>
      <c r="D65" s="14" t="s">
        <v>96</v>
      </c>
      <c r="E65" s="14" t="s">
        <v>97</v>
      </c>
      <c r="F65" s="14" t="s">
        <v>97</v>
      </c>
      <c r="G65" s="14" t="s">
        <v>64</v>
      </c>
      <c r="H65" s="25">
        <v>52955</v>
      </c>
      <c r="I65" s="14" t="s">
        <v>39</v>
      </c>
      <c r="K65" s="57"/>
      <c r="L65" s="19">
        <v>45566</v>
      </c>
      <c r="M65" s="19">
        <v>51043</v>
      </c>
      <c r="N65" s="19"/>
      <c r="O65" s="14">
        <v>180</v>
      </c>
      <c r="P65" s="12">
        <v>21.75</v>
      </c>
      <c r="Q65" s="15">
        <v>19.5</v>
      </c>
      <c r="R65" s="10">
        <f t="shared" si="16"/>
        <v>41.25</v>
      </c>
      <c r="S65" s="39">
        <v>2.5000000000000001E-2</v>
      </c>
      <c r="T65" s="12">
        <v>112</v>
      </c>
      <c r="U65" s="10">
        <f t="shared" si="0"/>
        <v>7.4666666666666668</v>
      </c>
      <c r="V65" s="13">
        <v>16</v>
      </c>
      <c r="W65" s="52" t="s">
        <v>40</v>
      </c>
      <c r="X65" s="15">
        <f t="shared" si="11"/>
        <v>55</v>
      </c>
      <c r="Y65" s="16">
        <f t="shared" si="2"/>
        <v>1.0666666666666667</v>
      </c>
      <c r="Z65" s="15">
        <f t="shared" si="12"/>
        <v>3.6666666666666665</v>
      </c>
      <c r="AA65" s="12">
        <f>X65+T65</f>
        <v>167</v>
      </c>
      <c r="AB65" s="15">
        <f t="shared" si="13"/>
        <v>11.133333333333333</v>
      </c>
      <c r="AC65" s="17">
        <f t="shared" si="14"/>
        <v>0.51187739463601534</v>
      </c>
      <c r="AD65" s="23"/>
      <c r="AE65" s="14" t="s">
        <v>98</v>
      </c>
      <c r="AF65" s="14" t="s">
        <v>140</v>
      </c>
      <c r="AH65" s="14" t="s">
        <v>93</v>
      </c>
    </row>
    <row r="66" spans="1:34" s="14" customFormat="1" ht="28.8" x14ac:dyDescent="0.3">
      <c r="A66" s="19">
        <v>43951</v>
      </c>
      <c r="B66" s="14" t="s">
        <v>1039</v>
      </c>
      <c r="D66" s="14" t="s">
        <v>1040</v>
      </c>
      <c r="E66" s="14" t="s">
        <v>144</v>
      </c>
      <c r="F66" s="14" t="s">
        <v>37</v>
      </c>
      <c r="G66" s="14" t="s">
        <v>64</v>
      </c>
      <c r="H66" s="20">
        <v>18666</v>
      </c>
      <c r="I66" s="14" t="s">
        <v>74</v>
      </c>
      <c r="K66" s="21">
        <v>43800</v>
      </c>
      <c r="L66" s="19">
        <v>43770</v>
      </c>
      <c r="M66" s="19">
        <v>47422</v>
      </c>
      <c r="N66" s="19"/>
      <c r="O66" s="14">
        <v>120</v>
      </c>
      <c r="P66" s="22">
        <v>24.5</v>
      </c>
      <c r="Q66" s="10">
        <v>9.58</v>
      </c>
      <c r="R66" s="10">
        <f t="shared" si="16"/>
        <v>34.08</v>
      </c>
      <c r="S66" s="15">
        <v>0.5</v>
      </c>
      <c r="T66" s="12">
        <v>0</v>
      </c>
      <c r="U66" s="10">
        <f t="shared" ref="U66:U129" si="17">T66/(O66/12)</f>
        <v>0</v>
      </c>
      <c r="V66" s="13">
        <v>0</v>
      </c>
      <c r="X66" s="15">
        <f t="shared" ref="X66:X97" si="18">(V66/12)*R66</f>
        <v>0</v>
      </c>
      <c r="Y66" s="16">
        <f t="shared" ref="Y66:Y129" si="19">V66/(O66/12)</f>
        <v>0</v>
      </c>
      <c r="Z66" s="15">
        <f t="shared" ref="Z66:Z97" si="20">X66/(O66/12)</f>
        <v>0</v>
      </c>
      <c r="AA66" s="12">
        <f>T66+X66</f>
        <v>0</v>
      </c>
      <c r="AB66" s="15">
        <f t="shared" ref="AB66:AB97" si="21">AA66/(O66/12)</f>
        <v>0</v>
      </c>
      <c r="AC66" s="17"/>
      <c r="AD66" s="23" t="s">
        <v>1041</v>
      </c>
      <c r="AE66" s="8" t="s">
        <v>91</v>
      </c>
      <c r="AF66" s="14" t="s">
        <v>1042</v>
      </c>
      <c r="AH66" s="14" t="s">
        <v>1043</v>
      </c>
    </row>
    <row r="67" spans="1:34" s="14" customFormat="1" ht="28.8" x14ac:dyDescent="0.3">
      <c r="A67" s="19">
        <v>44300</v>
      </c>
      <c r="B67" s="14" t="s">
        <v>820</v>
      </c>
      <c r="C67" s="14" t="s">
        <v>329</v>
      </c>
      <c r="D67" s="14" t="s">
        <v>330</v>
      </c>
      <c r="E67" s="14" t="s">
        <v>89</v>
      </c>
      <c r="F67" s="14" t="s">
        <v>90</v>
      </c>
      <c r="G67" s="14" t="s">
        <v>64</v>
      </c>
      <c r="H67" s="20">
        <v>3280</v>
      </c>
      <c r="I67" s="14" t="s">
        <v>39</v>
      </c>
      <c r="K67" s="21">
        <v>44256</v>
      </c>
      <c r="L67" s="19">
        <v>44378</v>
      </c>
      <c r="M67" s="19">
        <v>47848</v>
      </c>
      <c r="N67" s="19"/>
      <c r="O67" s="14">
        <v>114</v>
      </c>
      <c r="P67" s="22">
        <v>10</v>
      </c>
      <c r="Q67" s="10">
        <v>10.82</v>
      </c>
      <c r="R67" s="10">
        <f t="shared" si="16"/>
        <v>20.82</v>
      </c>
      <c r="S67" s="15">
        <v>0.5</v>
      </c>
      <c r="T67" s="12">
        <v>60</v>
      </c>
      <c r="U67" s="10">
        <f t="shared" si="17"/>
        <v>6.3157894736842106</v>
      </c>
      <c r="V67" s="26">
        <v>6</v>
      </c>
      <c r="W67" s="14" t="s">
        <v>40</v>
      </c>
      <c r="X67" s="15">
        <f t="shared" si="18"/>
        <v>10.41</v>
      </c>
      <c r="Y67" s="16">
        <f t="shared" si="19"/>
        <v>0.63157894736842102</v>
      </c>
      <c r="Z67" s="15">
        <f t="shared" si="20"/>
        <v>1.0957894736842106</v>
      </c>
      <c r="AA67" s="12">
        <f>T67+X67</f>
        <v>70.41</v>
      </c>
      <c r="AB67" s="15">
        <f t="shared" si="21"/>
        <v>7.4115789473684206</v>
      </c>
      <c r="AC67" s="17">
        <f t="shared" ref="AC67:AC95" si="22">AB67/P67</f>
        <v>0.74115789473684202</v>
      </c>
      <c r="AD67" s="23" t="s">
        <v>369</v>
      </c>
      <c r="AE67" s="14" t="s">
        <v>682</v>
      </c>
      <c r="AF67" s="14" t="s">
        <v>821</v>
      </c>
      <c r="AH67" s="14" t="s">
        <v>332</v>
      </c>
    </row>
    <row r="68" spans="1:34" s="14" customFormat="1" ht="28.8" x14ac:dyDescent="0.3">
      <c r="A68" s="19">
        <v>45811</v>
      </c>
      <c r="B68" s="59" t="s">
        <v>76</v>
      </c>
      <c r="C68" s="14" t="s">
        <v>77</v>
      </c>
      <c r="D68" s="14" t="s">
        <v>78</v>
      </c>
      <c r="E68" s="14" t="s">
        <v>79</v>
      </c>
      <c r="F68" s="14" t="s">
        <v>37</v>
      </c>
      <c r="G68" s="14" t="s">
        <v>38</v>
      </c>
      <c r="H68" s="20">
        <v>2801</v>
      </c>
      <c r="I68" s="14" t="s">
        <v>39</v>
      </c>
      <c r="K68" s="21">
        <v>45778</v>
      </c>
      <c r="L68" s="19">
        <v>45870</v>
      </c>
      <c r="M68" s="19">
        <v>47879</v>
      </c>
      <c r="N68" s="19"/>
      <c r="O68" s="14">
        <v>66</v>
      </c>
      <c r="P68" s="22">
        <v>20</v>
      </c>
      <c r="Q68" s="10">
        <v>11.87</v>
      </c>
      <c r="R68" s="10">
        <f t="shared" si="16"/>
        <v>31.869999999999997</v>
      </c>
      <c r="S68" s="15">
        <v>0.5</v>
      </c>
      <c r="T68" s="12">
        <v>65</v>
      </c>
      <c r="U68" s="10">
        <f t="shared" si="17"/>
        <v>11.818181818181818</v>
      </c>
      <c r="V68" s="26">
        <v>6</v>
      </c>
      <c r="W68" s="14" t="s">
        <v>40</v>
      </c>
      <c r="X68" s="15">
        <f t="shared" si="18"/>
        <v>15.934999999999999</v>
      </c>
      <c r="Y68" s="16">
        <f t="shared" si="19"/>
        <v>1.0909090909090908</v>
      </c>
      <c r="Z68" s="15">
        <f t="shared" si="20"/>
        <v>2.897272727272727</v>
      </c>
      <c r="AA68" s="12">
        <f>X68+T68</f>
        <v>80.935000000000002</v>
      </c>
      <c r="AB68" s="15">
        <f t="shared" si="21"/>
        <v>14.715454545454547</v>
      </c>
      <c r="AC68" s="17">
        <f t="shared" si="22"/>
        <v>0.73577272727272736</v>
      </c>
      <c r="AD68" s="23" t="s">
        <v>80</v>
      </c>
      <c r="AE68" s="14" t="s">
        <v>42</v>
      </c>
      <c r="AF68" s="14" t="s">
        <v>81</v>
      </c>
      <c r="AH68" s="14" t="s">
        <v>58</v>
      </c>
    </row>
    <row r="69" spans="1:34" s="14" customFormat="1" ht="28.8" x14ac:dyDescent="0.3">
      <c r="A69" s="19">
        <v>44980</v>
      </c>
      <c r="B69" s="14" t="s">
        <v>76</v>
      </c>
      <c r="C69" s="14" t="s">
        <v>388</v>
      </c>
      <c r="D69" s="14" t="s">
        <v>298</v>
      </c>
      <c r="E69" s="14" t="s">
        <v>89</v>
      </c>
      <c r="F69" s="14" t="s">
        <v>90</v>
      </c>
      <c r="G69" s="14" t="s">
        <v>38</v>
      </c>
      <c r="H69" s="20">
        <v>5187</v>
      </c>
      <c r="I69" s="14" t="s">
        <v>212</v>
      </c>
      <c r="K69" s="21"/>
      <c r="L69" s="19">
        <v>44958</v>
      </c>
      <c r="M69" s="19">
        <v>46053</v>
      </c>
      <c r="N69" s="19"/>
      <c r="O69" s="14">
        <v>36</v>
      </c>
      <c r="P69" s="22"/>
      <c r="Q69" s="10"/>
      <c r="R69" s="10">
        <f t="shared" si="16"/>
        <v>0</v>
      </c>
      <c r="S69" s="15">
        <v>0.5</v>
      </c>
      <c r="T69" s="12">
        <v>0</v>
      </c>
      <c r="U69" s="10">
        <f t="shared" si="17"/>
        <v>0</v>
      </c>
      <c r="V69" s="26">
        <v>2</v>
      </c>
      <c r="W69" s="14" t="s">
        <v>40</v>
      </c>
      <c r="X69" s="15">
        <f t="shared" si="18"/>
        <v>0</v>
      </c>
      <c r="Y69" s="16">
        <f t="shared" si="19"/>
        <v>0.66666666666666663</v>
      </c>
      <c r="Z69" s="15">
        <f t="shared" si="20"/>
        <v>0</v>
      </c>
      <c r="AA69" s="12">
        <f>T69+X69</f>
        <v>0</v>
      </c>
      <c r="AB69" s="15">
        <f t="shared" si="21"/>
        <v>0</v>
      </c>
      <c r="AC69" s="17" t="e">
        <f t="shared" si="22"/>
        <v>#DIV/0!</v>
      </c>
      <c r="AD69" s="23" t="s">
        <v>389</v>
      </c>
      <c r="AE69" s="14" t="s">
        <v>390</v>
      </c>
      <c r="AF69" s="14" t="s">
        <v>391</v>
      </c>
      <c r="AH69" s="14" t="s">
        <v>387</v>
      </c>
    </row>
    <row r="70" spans="1:34" s="14" customFormat="1" x14ac:dyDescent="0.3">
      <c r="A70" s="19">
        <v>45748</v>
      </c>
      <c r="B70" s="14" t="s">
        <v>156</v>
      </c>
      <c r="C70" s="14" t="s">
        <v>60</v>
      </c>
      <c r="D70" s="14" t="s">
        <v>61</v>
      </c>
      <c r="E70" s="14" t="s">
        <v>62</v>
      </c>
      <c r="F70" s="14" t="s">
        <v>63</v>
      </c>
      <c r="G70" s="14" t="s">
        <v>64</v>
      </c>
      <c r="H70" s="25">
        <v>8748</v>
      </c>
      <c r="I70" s="14" t="s">
        <v>39</v>
      </c>
      <c r="K70" s="57">
        <v>45717</v>
      </c>
      <c r="L70" s="19">
        <v>45870</v>
      </c>
      <c r="M70" s="19">
        <v>48883</v>
      </c>
      <c r="N70" s="19"/>
      <c r="O70" s="14">
        <v>99</v>
      </c>
      <c r="P70" s="12">
        <v>20.5</v>
      </c>
      <c r="Q70" s="15">
        <v>18.97</v>
      </c>
      <c r="R70" s="15">
        <f t="shared" si="16"/>
        <v>39.47</v>
      </c>
      <c r="S70" s="15">
        <v>0.5</v>
      </c>
      <c r="T70" s="12">
        <v>90</v>
      </c>
      <c r="U70" s="10">
        <f t="shared" si="17"/>
        <v>10.909090909090908</v>
      </c>
      <c r="V70" s="13">
        <v>9</v>
      </c>
      <c r="W70" s="52" t="s">
        <v>40</v>
      </c>
      <c r="X70" s="15">
        <f t="shared" si="18"/>
        <v>29.602499999999999</v>
      </c>
      <c r="Y70" s="16">
        <f t="shared" si="19"/>
        <v>1.0909090909090908</v>
      </c>
      <c r="Z70" s="15">
        <f t="shared" si="20"/>
        <v>3.5881818181818179</v>
      </c>
      <c r="AA70" s="12">
        <f>T70+X70</f>
        <v>119.60249999999999</v>
      </c>
      <c r="AB70" s="15">
        <f t="shared" si="21"/>
        <v>14.497272727272726</v>
      </c>
      <c r="AC70" s="17">
        <f t="shared" si="22"/>
        <v>0.70718403547671838</v>
      </c>
      <c r="AD70" s="23" t="s">
        <v>157</v>
      </c>
      <c r="AE70" s="14" t="s">
        <v>42</v>
      </c>
      <c r="AF70" s="14" t="s">
        <v>158</v>
      </c>
      <c r="AH70" s="14" t="s">
        <v>159</v>
      </c>
    </row>
    <row r="71" spans="1:34" s="14" customFormat="1" ht="28.8" x14ac:dyDescent="0.3">
      <c r="A71" s="7">
        <v>45428</v>
      </c>
      <c r="B71" s="8" t="s">
        <v>210</v>
      </c>
      <c r="C71" s="8"/>
      <c r="D71" s="8" t="s">
        <v>211</v>
      </c>
      <c r="E71" s="8" t="s">
        <v>62</v>
      </c>
      <c r="F71" s="8" t="s">
        <v>63</v>
      </c>
      <c r="G71" s="8" t="s">
        <v>64</v>
      </c>
      <c r="H71" s="9">
        <v>3832</v>
      </c>
      <c r="I71" s="8" t="s">
        <v>212</v>
      </c>
      <c r="J71" s="8"/>
      <c r="K71" s="8"/>
      <c r="L71" s="7">
        <v>45383</v>
      </c>
      <c r="M71" s="7">
        <v>48548</v>
      </c>
      <c r="N71" s="7"/>
      <c r="O71" s="8">
        <v>104</v>
      </c>
      <c r="P71" s="54">
        <v>19.75</v>
      </c>
      <c r="Q71" s="55">
        <v>19.52</v>
      </c>
      <c r="R71" s="10">
        <f t="shared" si="16"/>
        <v>39.269999999999996</v>
      </c>
      <c r="S71" s="55">
        <v>0.5</v>
      </c>
      <c r="T71" s="54">
        <v>38.200000000000003</v>
      </c>
      <c r="U71" s="10">
        <f t="shared" si="17"/>
        <v>4.407692307692308</v>
      </c>
      <c r="V71" s="26">
        <v>8</v>
      </c>
      <c r="W71" s="8" t="s">
        <v>40</v>
      </c>
      <c r="X71" s="15">
        <f t="shared" si="18"/>
        <v>26.179999999999996</v>
      </c>
      <c r="Y71" s="16">
        <f t="shared" si="19"/>
        <v>0.92307692307692313</v>
      </c>
      <c r="Z71" s="15">
        <f t="shared" si="20"/>
        <v>3.0207692307692304</v>
      </c>
      <c r="AA71" s="12">
        <f>X71+T71</f>
        <v>64.38</v>
      </c>
      <c r="AB71" s="15">
        <f t="shared" si="21"/>
        <v>7.428461538461538</v>
      </c>
      <c r="AC71" s="17">
        <f t="shared" si="22"/>
        <v>0.37612463485881203</v>
      </c>
      <c r="AD71" s="18" t="s">
        <v>213</v>
      </c>
      <c r="AE71" s="8"/>
      <c r="AF71" s="8"/>
      <c r="AG71" s="8"/>
      <c r="AH71" s="8"/>
    </row>
    <row r="72" spans="1:34" s="14" customFormat="1" x14ac:dyDescent="0.3">
      <c r="A72" s="19">
        <v>44980</v>
      </c>
      <c r="B72" s="14" t="s">
        <v>434</v>
      </c>
      <c r="C72" s="14" t="s">
        <v>133</v>
      </c>
      <c r="D72" s="14" t="s">
        <v>134</v>
      </c>
      <c r="E72" s="61" t="s">
        <v>135</v>
      </c>
      <c r="F72" s="14" t="s">
        <v>90</v>
      </c>
      <c r="G72" s="14" t="s">
        <v>64</v>
      </c>
      <c r="H72" s="20">
        <v>52056</v>
      </c>
      <c r="I72" s="14" t="s">
        <v>39</v>
      </c>
      <c r="K72" s="21"/>
      <c r="L72" s="19">
        <v>45108</v>
      </c>
      <c r="M72" s="19">
        <v>49125</v>
      </c>
      <c r="N72" s="19"/>
      <c r="O72" s="14">
        <v>132</v>
      </c>
      <c r="P72" s="22">
        <v>28</v>
      </c>
      <c r="Q72" s="10"/>
      <c r="R72" s="10">
        <f t="shared" si="16"/>
        <v>28</v>
      </c>
      <c r="S72" s="15">
        <v>0.55000000000000004</v>
      </c>
      <c r="T72" s="12">
        <v>84</v>
      </c>
      <c r="U72" s="10">
        <f t="shared" si="17"/>
        <v>7.6363636363636367</v>
      </c>
      <c r="V72" s="26">
        <v>14</v>
      </c>
      <c r="W72" s="14" t="s">
        <v>40</v>
      </c>
      <c r="X72" s="15">
        <f t="shared" si="18"/>
        <v>32.666666666666671</v>
      </c>
      <c r="Y72" s="16">
        <f t="shared" si="19"/>
        <v>1.2727272727272727</v>
      </c>
      <c r="Z72" s="15">
        <f t="shared" si="20"/>
        <v>2.9696969696969702</v>
      </c>
      <c r="AA72" s="12">
        <f>X72+T72</f>
        <v>116.66666666666667</v>
      </c>
      <c r="AB72" s="15">
        <f t="shared" si="21"/>
        <v>10.606060606060607</v>
      </c>
      <c r="AC72" s="17">
        <f t="shared" si="22"/>
        <v>0.37878787878787884</v>
      </c>
      <c r="AD72" s="23" t="s">
        <v>435</v>
      </c>
      <c r="AE72" s="8" t="s">
        <v>91</v>
      </c>
      <c r="AF72" s="14" t="s">
        <v>131</v>
      </c>
    </row>
    <row r="73" spans="1:34" s="14" customFormat="1" ht="28.8" x14ac:dyDescent="0.3">
      <c r="A73" s="19">
        <v>44600</v>
      </c>
      <c r="B73" s="14" t="s">
        <v>684</v>
      </c>
      <c r="C73" s="14" t="s">
        <v>207</v>
      </c>
      <c r="D73" s="14" t="s">
        <v>208</v>
      </c>
      <c r="E73" s="14" t="s">
        <v>62</v>
      </c>
      <c r="F73" s="14" t="s">
        <v>63</v>
      </c>
      <c r="G73" s="14" t="s">
        <v>64</v>
      </c>
      <c r="H73" s="20">
        <v>10390</v>
      </c>
      <c r="I73" s="14" t="s">
        <v>39</v>
      </c>
      <c r="K73" s="21"/>
      <c r="L73" s="19">
        <v>44652</v>
      </c>
      <c r="M73" s="19">
        <v>46112</v>
      </c>
      <c r="N73" s="19"/>
      <c r="O73" s="14">
        <v>48</v>
      </c>
      <c r="P73" s="22">
        <v>22</v>
      </c>
      <c r="Q73" s="10">
        <v>17.100000000000001</v>
      </c>
      <c r="R73" s="10">
        <f t="shared" si="16"/>
        <v>39.1</v>
      </c>
      <c r="S73" s="11">
        <v>0.03</v>
      </c>
      <c r="T73" s="12">
        <v>30</v>
      </c>
      <c r="U73" s="10">
        <f t="shared" si="17"/>
        <v>7.5</v>
      </c>
      <c r="V73" s="13">
        <v>0</v>
      </c>
      <c r="X73" s="15">
        <f t="shared" si="18"/>
        <v>0</v>
      </c>
      <c r="Y73" s="16">
        <f t="shared" si="19"/>
        <v>0</v>
      </c>
      <c r="Z73" s="15">
        <f t="shared" si="20"/>
        <v>0</v>
      </c>
      <c r="AA73" s="12">
        <f>T73+X73</f>
        <v>30</v>
      </c>
      <c r="AB73" s="15">
        <f t="shared" si="21"/>
        <v>7.5</v>
      </c>
      <c r="AC73" s="17">
        <f t="shared" si="22"/>
        <v>0.34090909090909088</v>
      </c>
      <c r="AD73" s="23" t="s">
        <v>209</v>
      </c>
      <c r="AE73" s="14" t="s">
        <v>685</v>
      </c>
      <c r="AF73" s="14" t="s">
        <v>686</v>
      </c>
      <c r="AH73" s="14" t="s">
        <v>490</v>
      </c>
    </row>
    <row r="74" spans="1:34" s="14" customFormat="1" ht="100.8" x14ac:dyDescent="0.3">
      <c r="A74" s="19">
        <v>44790</v>
      </c>
      <c r="B74" s="14" t="s">
        <v>595</v>
      </c>
      <c r="C74" s="14" t="s">
        <v>593</v>
      </c>
      <c r="D74" s="14" t="s">
        <v>211</v>
      </c>
      <c r="E74" s="14" t="s">
        <v>62</v>
      </c>
      <c r="F74" s="14" t="s">
        <v>63</v>
      </c>
      <c r="G74" s="14" t="s">
        <v>547</v>
      </c>
      <c r="H74" s="20">
        <v>8102</v>
      </c>
      <c r="I74" s="14" t="s">
        <v>39</v>
      </c>
      <c r="K74" s="21"/>
      <c r="L74" s="19">
        <v>44896</v>
      </c>
      <c r="M74" s="19">
        <v>47664</v>
      </c>
      <c r="N74" s="19"/>
      <c r="O74" s="14">
        <v>91</v>
      </c>
      <c r="P74" s="22">
        <v>19.25</v>
      </c>
      <c r="Q74" s="10">
        <v>11.06</v>
      </c>
      <c r="R74" s="10">
        <f t="shared" si="16"/>
        <v>30.310000000000002</v>
      </c>
      <c r="S74" s="15">
        <v>0.5</v>
      </c>
      <c r="T74" s="12">
        <v>70</v>
      </c>
      <c r="U74" s="10">
        <f t="shared" si="17"/>
        <v>9.2307692307692317</v>
      </c>
      <c r="V74" s="13">
        <v>0</v>
      </c>
      <c r="X74" s="15">
        <f t="shared" si="18"/>
        <v>0</v>
      </c>
      <c r="Y74" s="16">
        <f t="shared" si="19"/>
        <v>0</v>
      </c>
      <c r="Z74" s="15">
        <f t="shared" si="20"/>
        <v>0</v>
      </c>
      <c r="AA74" s="12">
        <f>T74+X74</f>
        <v>70</v>
      </c>
      <c r="AB74" s="15">
        <f t="shared" si="21"/>
        <v>9.2307692307692317</v>
      </c>
      <c r="AC74" s="17">
        <f t="shared" si="22"/>
        <v>0.47952047952047955</v>
      </c>
      <c r="AD74" s="23" t="s">
        <v>213</v>
      </c>
      <c r="AE74" s="8" t="s">
        <v>91</v>
      </c>
      <c r="AF74" s="14" t="s">
        <v>225</v>
      </c>
      <c r="AG74" s="14" t="s">
        <v>596</v>
      </c>
      <c r="AH74" s="14" t="s">
        <v>490</v>
      </c>
    </row>
    <row r="75" spans="1:34" s="14" customFormat="1" ht="28.8" x14ac:dyDescent="0.3">
      <c r="A75" s="19">
        <v>45805</v>
      </c>
      <c r="B75" s="14" t="s">
        <v>114</v>
      </c>
      <c r="C75" s="14" t="s">
        <v>87</v>
      </c>
      <c r="D75" s="14" t="s">
        <v>115</v>
      </c>
      <c r="E75" s="14" t="s">
        <v>89</v>
      </c>
      <c r="F75" s="14" t="s">
        <v>90</v>
      </c>
      <c r="G75" s="14" t="s">
        <v>64</v>
      </c>
      <c r="H75" s="25">
        <v>61295</v>
      </c>
      <c r="I75" s="14" t="s">
        <v>39</v>
      </c>
      <c r="K75" s="57"/>
      <c r="L75" s="19">
        <v>45717</v>
      </c>
      <c r="M75" s="19">
        <v>49368</v>
      </c>
      <c r="N75" s="19"/>
      <c r="O75" s="14">
        <v>120</v>
      </c>
      <c r="P75" s="12">
        <v>16.5</v>
      </c>
      <c r="Q75" s="15"/>
      <c r="R75" s="10">
        <f t="shared" si="16"/>
        <v>16.5</v>
      </c>
      <c r="S75" s="15">
        <v>0.5</v>
      </c>
      <c r="T75" s="12">
        <v>117</v>
      </c>
      <c r="U75" s="10">
        <f t="shared" si="17"/>
        <v>11.7</v>
      </c>
      <c r="V75" s="13">
        <v>16</v>
      </c>
      <c r="W75" s="52" t="s">
        <v>40</v>
      </c>
      <c r="X75" s="15">
        <f t="shared" si="18"/>
        <v>22</v>
      </c>
      <c r="Y75" s="16">
        <f t="shared" si="19"/>
        <v>1.6</v>
      </c>
      <c r="Z75" s="15">
        <f t="shared" si="20"/>
        <v>2.2000000000000002</v>
      </c>
      <c r="AA75" s="12">
        <f>X75+T75</f>
        <v>139</v>
      </c>
      <c r="AB75" s="15">
        <f t="shared" si="21"/>
        <v>13.9</v>
      </c>
      <c r="AC75" s="17">
        <f t="shared" si="22"/>
        <v>0.84242424242424241</v>
      </c>
      <c r="AD75" s="23"/>
      <c r="AE75" s="14" t="s">
        <v>91</v>
      </c>
      <c r="AF75" s="14" t="s">
        <v>116</v>
      </c>
      <c r="AH75" s="14" t="s">
        <v>93</v>
      </c>
    </row>
    <row r="76" spans="1:34" s="14" customFormat="1" ht="57.6" x14ac:dyDescent="0.3">
      <c r="A76" s="19">
        <v>43951</v>
      </c>
      <c r="B76" s="14" t="s">
        <v>1079</v>
      </c>
      <c r="C76" s="14" t="s">
        <v>1080</v>
      </c>
      <c r="D76" s="14" t="s">
        <v>844</v>
      </c>
      <c r="E76" s="14" t="s">
        <v>168</v>
      </c>
      <c r="F76" s="14" t="s">
        <v>37</v>
      </c>
      <c r="G76" s="14" t="s">
        <v>38</v>
      </c>
      <c r="H76" s="20">
        <v>34553</v>
      </c>
      <c r="I76" s="14" t="s">
        <v>39</v>
      </c>
      <c r="K76" s="21">
        <v>43739</v>
      </c>
      <c r="L76" s="19">
        <v>43922</v>
      </c>
      <c r="M76" s="19">
        <v>47756</v>
      </c>
      <c r="N76" s="19"/>
      <c r="O76" s="14">
        <v>126</v>
      </c>
      <c r="P76" s="22">
        <v>10.38</v>
      </c>
      <c r="Q76" s="10">
        <v>5.52</v>
      </c>
      <c r="R76" s="10">
        <f t="shared" si="16"/>
        <v>15.9</v>
      </c>
      <c r="S76" s="15">
        <v>0.5</v>
      </c>
      <c r="T76" s="12">
        <v>25</v>
      </c>
      <c r="U76" s="10">
        <f t="shared" si="17"/>
        <v>2.3809523809523809</v>
      </c>
      <c r="V76" s="23"/>
      <c r="X76" s="15">
        <f t="shared" si="18"/>
        <v>0</v>
      </c>
      <c r="Y76" s="16">
        <f t="shared" si="19"/>
        <v>0</v>
      </c>
      <c r="Z76" s="15">
        <f t="shared" si="20"/>
        <v>0</v>
      </c>
      <c r="AA76" s="12">
        <f>T76+X76</f>
        <v>25</v>
      </c>
      <c r="AB76" s="15">
        <f t="shared" si="21"/>
        <v>2.3809523809523809</v>
      </c>
      <c r="AC76" s="17">
        <f t="shared" si="22"/>
        <v>0.22937884209560508</v>
      </c>
      <c r="AD76" s="23" t="s">
        <v>1081</v>
      </c>
      <c r="AE76" s="8" t="s">
        <v>91</v>
      </c>
      <c r="AF76" s="14" t="s">
        <v>1082</v>
      </c>
      <c r="AG76" s="14" t="s">
        <v>1083</v>
      </c>
      <c r="AH76" s="14" t="s">
        <v>1084</v>
      </c>
    </row>
    <row r="77" spans="1:34" s="14" customFormat="1" x14ac:dyDescent="0.3">
      <c r="A77" s="19">
        <v>44545</v>
      </c>
      <c r="B77" s="14" t="s">
        <v>726</v>
      </c>
      <c r="C77" s="14" t="s">
        <v>727</v>
      </c>
      <c r="D77" s="14" t="s">
        <v>444</v>
      </c>
      <c r="E77" s="14" t="s">
        <v>62</v>
      </c>
      <c r="F77" s="14" t="s">
        <v>63</v>
      </c>
      <c r="G77" s="14" t="s">
        <v>64</v>
      </c>
      <c r="H77" s="20">
        <v>2812</v>
      </c>
      <c r="I77" s="14" t="s">
        <v>39</v>
      </c>
      <c r="K77" s="21">
        <v>44531</v>
      </c>
      <c r="L77" s="19">
        <v>44713</v>
      </c>
      <c r="M77" s="19">
        <v>47483</v>
      </c>
      <c r="N77" s="19"/>
      <c r="O77" s="14">
        <v>91</v>
      </c>
      <c r="P77" s="22">
        <v>17.5</v>
      </c>
      <c r="Q77" s="10">
        <v>16.850000000000001</v>
      </c>
      <c r="R77" s="10">
        <f t="shared" si="16"/>
        <v>34.35</v>
      </c>
      <c r="S77" s="15">
        <v>0.5</v>
      </c>
      <c r="T77" s="12">
        <v>55</v>
      </c>
      <c r="U77" s="10">
        <f t="shared" si="17"/>
        <v>7.2527472527472527</v>
      </c>
      <c r="V77" s="26">
        <v>2</v>
      </c>
      <c r="W77" s="14" t="s">
        <v>169</v>
      </c>
      <c r="X77" s="15">
        <f t="shared" si="18"/>
        <v>5.7249999999999996</v>
      </c>
      <c r="Y77" s="16">
        <f t="shared" si="19"/>
        <v>0.26373626373626374</v>
      </c>
      <c r="Z77" s="15">
        <f t="shared" si="20"/>
        <v>0.75494505494505493</v>
      </c>
      <c r="AA77" s="12">
        <f>T77+X77</f>
        <v>60.725000000000001</v>
      </c>
      <c r="AB77" s="15">
        <f t="shared" si="21"/>
        <v>8.0076923076923077</v>
      </c>
      <c r="AC77" s="17">
        <f t="shared" si="22"/>
        <v>0.45758241758241758</v>
      </c>
      <c r="AD77" s="23" t="s">
        <v>216</v>
      </c>
      <c r="AE77" s="8" t="s">
        <v>91</v>
      </c>
      <c r="AF77" s="14" t="s">
        <v>56</v>
      </c>
      <c r="AH77" s="14" t="s">
        <v>58</v>
      </c>
    </row>
    <row r="78" spans="1:34" s="14" customFormat="1" ht="43.2" x14ac:dyDescent="0.3">
      <c r="A78" s="19">
        <v>44637</v>
      </c>
      <c r="B78" s="14" t="s">
        <v>665</v>
      </c>
      <c r="C78" s="14" t="s">
        <v>666</v>
      </c>
      <c r="D78" s="14" t="s">
        <v>667</v>
      </c>
      <c r="E78" s="14" t="s">
        <v>184</v>
      </c>
      <c r="F78" s="14" t="s">
        <v>37</v>
      </c>
      <c r="G78" s="14" t="s">
        <v>38</v>
      </c>
      <c r="H78" s="20">
        <v>5492</v>
      </c>
      <c r="I78" s="14" t="s">
        <v>488</v>
      </c>
      <c r="K78" s="21"/>
      <c r="L78" s="19">
        <v>44317</v>
      </c>
      <c r="M78" s="19">
        <v>46630</v>
      </c>
      <c r="N78" s="19"/>
      <c r="O78" s="14">
        <v>76</v>
      </c>
      <c r="P78" s="22">
        <v>10</v>
      </c>
      <c r="Q78" s="10">
        <v>5.93</v>
      </c>
      <c r="R78" s="10">
        <f t="shared" si="16"/>
        <v>15.93</v>
      </c>
      <c r="S78" s="15">
        <v>0.5</v>
      </c>
      <c r="T78" s="12">
        <v>7.5</v>
      </c>
      <c r="U78" s="10">
        <f t="shared" si="17"/>
        <v>1.1842105263157896</v>
      </c>
      <c r="V78" s="26">
        <v>3</v>
      </c>
      <c r="W78" s="14" t="s">
        <v>40</v>
      </c>
      <c r="X78" s="15">
        <f t="shared" si="18"/>
        <v>3.9824999999999999</v>
      </c>
      <c r="Y78" s="16">
        <f t="shared" si="19"/>
        <v>0.47368421052631582</v>
      </c>
      <c r="Z78" s="15">
        <f t="shared" si="20"/>
        <v>0.62881578947368422</v>
      </c>
      <c r="AA78" s="12">
        <f>T78+X78</f>
        <v>11.4825</v>
      </c>
      <c r="AB78" s="15">
        <f t="shared" si="21"/>
        <v>1.8130263157894737</v>
      </c>
      <c r="AC78" s="17">
        <f t="shared" si="22"/>
        <v>0.18130263157894738</v>
      </c>
      <c r="AD78" s="23" t="s">
        <v>185</v>
      </c>
      <c r="AE78" s="14" t="s">
        <v>186</v>
      </c>
      <c r="AG78" s="14" t="s">
        <v>668</v>
      </c>
      <c r="AH78" s="14" t="s">
        <v>669</v>
      </c>
    </row>
    <row r="79" spans="1:34" s="14" customFormat="1" ht="28.8" x14ac:dyDescent="0.3">
      <c r="A79" s="19">
        <v>43951</v>
      </c>
      <c r="B79" s="14" t="s">
        <v>1110</v>
      </c>
      <c r="C79" s="14" t="s">
        <v>329</v>
      </c>
      <c r="D79" s="14" t="s">
        <v>330</v>
      </c>
      <c r="E79" s="14" t="s">
        <v>89</v>
      </c>
      <c r="F79" s="14" t="s">
        <v>90</v>
      </c>
      <c r="G79" s="14" t="s">
        <v>64</v>
      </c>
      <c r="H79" s="20">
        <v>4892</v>
      </c>
      <c r="I79" s="14" t="s">
        <v>39</v>
      </c>
      <c r="K79" s="21">
        <v>43739</v>
      </c>
      <c r="L79" s="19">
        <v>43891</v>
      </c>
      <c r="M79" s="19">
        <v>47907</v>
      </c>
      <c r="N79" s="19"/>
      <c r="O79" s="14">
        <v>132</v>
      </c>
      <c r="P79" s="22">
        <v>8.15</v>
      </c>
      <c r="Q79" s="10">
        <v>12.35</v>
      </c>
      <c r="R79" s="10">
        <f t="shared" si="16"/>
        <v>20.5</v>
      </c>
      <c r="S79" s="15">
        <v>0.5</v>
      </c>
      <c r="T79" s="12">
        <v>0</v>
      </c>
      <c r="U79" s="10">
        <f t="shared" si="17"/>
        <v>0</v>
      </c>
      <c r="V79" s="13">
        <v>0</v>
      </c>
      <c r="X79" s="15">
        <f t="shared" si="18"/>
        <v>0</v>
      </c>
      <c r="Y79" s="16">
        <f t="shared" si="19"/>
        <v>0</v>
      </c>
      <c r="Z79" s="15">
        <f t="shared" si="20"/>
        <v>0</v>
      </c>
      <c r="AA79" s="12">
        <f>X79+T79</f>
        <v>0</v>
      </c>
      <c r="AB79" s="15">
        <f t="shared" si="21"/>
        <v>0</v>
      </c>
      <c r="AC79" s="17">
        <f t="shared" si="22"/>
        <v>0</v>
      </c>
      <c r="AD79" s="23" t="s">
        <v>369</v>
      </c>
      <c r="AE79" s="8" t="s">
        <v>91</v>
      </c>
      <c r="AF79" s="14" t="s">
        <v>1111</v>
      </c>
      <c r="AG79" s="14" t="s">
        <v>187</v>
      </c>
      <c r="AH79" s="14" t="s">
        <v>1112</v>
      </c>
    </row>
    <row r="80" spans="1:34" s="14" customFormat="1" ht="28.8" x14ac:dyDescent="0.3">
      <c r="A80" s="19">
        <v>45805</v>
      </c>
      <c r="B80" s="14" t="s">
        <v>132</v>
      </c>
      <c r="C80" s="14" t="s">
        <v>133</v>
      </c>
      <c r="D80" s="14" t="s">
        <v>134</v>
      </c>
      <c r="E80" s="14" t="s">
        <v>135</v>
      </c>
      <c r="F80" s="14" t="s">
        <v>90</v>
      </c>
      <c r="G80" s="14" t="s">
        <v>64</v>
      </c>
      <c r="H80" s="25">
        <v>50000</v>
      </c>
      <c r="I80" s="14" t="s">
        <v>39</v>
      </c>
      <c r="K80" s="57"/>
      <c r="L80" s="19">
        <v>45658</v>
      </c>
      <c r="M80" s="19">
        <v>50405</v>
      </c>
      <c r="N80" s="19"/>
      <c r="O80" s="14">
        <v>156</v>
      </c>
      <c r="P80" s="12"/>
      <c r="Q80" s="15"/>
      <c r="R80" s="10">
        <v>25</v>
      </c>
      <c r="S80" s="15">
        <v>0.5</v>
      </c>
      <c r="T80" s="12">
        <v>125</v>
      </c>
      <c r="U80" s="10">
        <f t="shared" si="17"/>
        <v>9.615384615384615</v>
      </c>
      <c r="V80" s="13">
        <v>16</v>
      </c>
      <c r="W80" s="52" t="s">
        <v>40</v>
      </c>
      <c r="X80" s="15">
        <f t="shared" si="18"/>
        <v>33.333333333333329</v>
      </c>
      <c r="Y80" s="16">
        <f t="shared" si="19"/>
        <v>1.2307692307692308</v>
      </c>
      <c r="Z80" s="15">
        <f t="shared" si="20"/>
        <v>2.5641025641025639</v>
      </c>
      <c r="AA80" s="12">
        <f>X80+T80</f>
        <v>158.33333333333331</v>
      </c>
      <c r="AB80" s="15">
        <f t="shared" si="21"/>
        <v>12.179487179487179</v>
      </c>
      <c r="AC80" s="17" t="e">
        <f t="shared" si="22"/>
        <v>#DIV/0!</v>
      </c>
      <c r="AD80" s="23"/>
      <c r="AE80" s="14" t="s">
        <v>136</v>
      </c>
      <c r="AF80" s="14" t="s">
        <v>137</v>
      </c>
      <c r="AG80" s="14" t="s">
        <v>138</v>
      </c>
      <c r="AH80" s="14" t="s">
        <v>93</v>
      </c>
    </row>
    <row r="81" spans="1:34" s="14" customFormat="1" ht="43.2" x14ac:dyDescent="0.3">
      <c r="A81" s="19">
        <v>44652</v>
      </c>
      <c r="B81" s="14" t="s">
        <v>647</v>
      </c>
      <c r="C81" s="14" t="s">
        <v>372</v>
      </c>
      <c r="D81" s="14" t="s">
        <v>586</v>
      </c>
      <c r="E81" s="14" t="s">
        <v>62</v>
      </c>
      <c r="F81" s="14" t="s">
        <v>63</v>
      </c>
      <c r="G81" s="14" t="s">
        <v>64</v>
      </c>
      <c r="H81" s="20">
        <v>3373</v>
      </c>
      <c r="I81" s="14" t="s">
        <v>39</v>
      </c>
      <c r="K81" s="21"/>
      <c r="L81" s="19">
        <v>44652</v>
      </c>
      <c r="M81" s="19">
        <v>46234</v>
      </c>
      <c r="N81" s="19"/>
      <c r="O81" s="14">
        <v>52</v>
      </c>
      <c r="P81" s="22">
        <v>17.5</v>
      </c>
      <c r="Q81" s="10">
        <v>17.12</v>
      </c>
      <c r="R81" s="10">
        <f t="shared" ref="R81:R112" si="23">P81+Q81</f>
        <v>34.620000000000005</v>
      </c>
      <c r="S81" s="15">
        <v>0.5</v>
      </c>
      <c r="T81" s="12">
        <v>40</v>
      </c>
      <c r="U81" s="10">
        <f t="shared" si="17"/>
        <v>9.2307692307692317</v>
      </c>
      <c r="V81" s="26">
        <v>4</v>
      </c>
      <c r="W81" s="14" t="s">
        <v>40</v>
      </c>
      <c r="X81" s="15">
        <f t="shared" si="18"/>
        <v>11.540000000000001</v>
      </c>
      <c r="Y81" s="16">
        <f t="shared" si="19"/>
        <v>0.92307692307692313</v>
      </c>
      <c r="Z81" s="15">
        <f t="shared" si="20"/>
        <v>2.6630769230769236</v>
      </c>
      <c r="AA81" s="12">
        <f>X81+T81</f>
        <v>51.54</v>
      </c>
      <c r="AB81" s="15">
        <f t="shared" si="21"/>
        <v>11.893846153846155</v>
      </c>
      <c r="AC81" s="17">
        <f t="shared" si="22"/>
        <v>0.67964835164835169</v>
      </c>
      <c r="AD81" s="23" t="s">
        <v>363</v>
      </c>
      <c r="AH81" s="14" t="s">
        <v>648</v>
      </c>
    </row>
    <row r="82" spans="1:34" s="14" customFormat="1" ht="28.8" x14ac:dyDescent="0.3">
      <c r="A82" s="19">
        <v>44547</v>
      </c>
      <c r="B82" s="14" t="s">
        <v>723</v>
      </c>
      <c r="C82" s="14" t="s">
        <v>724</v>
      </c>
      <c r="D82" s="14" t="s">
        <v>725</v>
      </c>
      <c r="E82" s="14" t="s">
        <v>120</v>
      </c>
      <c r="F82" s="14" t="s">
        <v>90</v>
      </c>
      <c r="G82" s="14" t="s">
        <v>55</v>
      </c>
      <c r="H82" s="20">
        <v>9781</v>
      </c>
      <c r="I82" s="14" t="s">
        <v>74</v>
      </c>
      <c r="K82" s="50"/>
      <c r="L82" s="19">
        <v>44835</v>
      </c>
      <c r="M82" s="19">
        <v>46811</v>
      </c>
      <c r="N82" s="51"/>
      <c r="O82" s="14">
        <v>65</v>
      </c>
      <c r="P82" s="22">
        <v>9</v>
      </c>
      <c r="Q82" s="10">
        <v>5.93</v>
      </c>
      <c r="R82" s="10">
        <f t="shared" si="23"/>
        <v>14.93</v>
      </c>
      <c r="S82" s="15">
        <v>0.5</v>
      </c>
      <c r="T82" s="12">
        <v>15</v>
      </c>
      <c r="U82" s="10">
        <f t="shared" si="17"/>
        <v>2.7692307692307692</v>
      </c>
      <c r="V82" s="26">
        <v>5</v>
      </c>
      <c r="W82" s="14" t="s">
        <v>40</v>
      </c>
      <c r="X82" s="15">
        <f t="shared" si="18"/>
        <v>6.2208333333333332</v>
      </c>
      <c r="Y82" s="16">
        <f t="shared" si="19"/>
        <v>0.92307692307692302</v>
      </c>
      <c r="Z82" s="15">
        <f t="shared" si="20"/>
        <v>1.1484615384615384</v>
      </c>
      <c r="AA82" s="12">
        <f>X82+T82</f>
        <v>21.220833333333331</v>
      </c>
      <c r="AB82" s="15">
        <f t="shared" si="21"/>
        <v>3.9176923076923069</v>
      </c>
      <c r="AC82" s="17">
        <f t="shared" si="22"/>
        <v>0.43529914529914521</v>
      </c>
      <c r="AD82" s="23" t="s">
        <v>603</v>
      </c>
      <c r="AE82" s="8" t="s">
        <v>91</v>
      </c>
      <c r="AF82" s="14" t="s">
        <v>225</v>
      </c>
    </row>
    <row r="83" spans="1:34" s="14" customFormat="1" ht="28.8" x14ac:dyDescent="0.3">
      <c r="A83" s="19">
        <v>45888</v>
      </c>
      <c r="B83" s="14" t="s">
        <v>46</v>
      </c>
      <c r="C83" s="14" t="s">
        <v>34</v>
      </c>
      <c r="D83" s="14" t="s">
        <v>35</v>
      </c>
      <c r="E83" s="14" t="s">
        <v>36</v>
      </c>
      <c r="F83" s="14" t="s">
        <v>37</v>
      </c>
      <c r="G83" s="14" t="s">
        <v>38</v>
      </c>
      <c r="H83" s="20">
        <v>7019</v>
      </c>
      <c r="I83" s="14" t="s">
        <v>39</v>
      </c>
      <c r="K83" s="21"/>
      <c r="L83" s="19">
        <v>45901</v>
      </c>
      <c r="M83" s="19">
        <v>48669</v>
      </c>
      <c r="N83" s="19"/>
      <c r="O83" s="14">
        <v>91</v>
      </c>
      <c r="P83" s="22">
        <v>19.25</v>
      </c>
      <c r="Q83" s="10">
        <v>12.07</v>
      </c>
      <c r="R83" s="10">
        <f t="shared" si="23"/>
        <v>31.32</v>
      </c>
      <c r="S83" s="11">
        <v>0.03</v>
      </c>
      <c r="T83" s="12">
        <v>8</v>
      </c>
      <c r="U83" s="10">
        <f t="shared" si="17"/>
        <v>1.054945054945055</v>
      </c>
      <c r="V83" s="13">
        <v>7</v>
      </c>
      <c r="W83" s="14" t="s">
        <v>40</v>
      </c>
      <c r="X83" s="15">
        <f t="shared" si="18"/>
        <v>18.27</v>
      </c>
      <c r="Y83" s="16">
        <f t="shared" si="19"/>
        <v>0.92307692307692313</v>
      </c>
      <c r="Z83" s="15">
        <f t="shared" si="20"/>
        <v>2.4092307692307693</v>
      </c>
      <c r="AA83" s="12">
        <f>T83+X83</f>
        <v>26.27</v>
      </c>
      <c r="AB83" s="15">
        <f t="shared" si="21"/>
        <v>3.464175824175824</v>
      </c>
      <c r="AC83" s="17">
        <f t="shared" si="22"/>
        <v>0.17995718567147137</v>
      </c>
      <c r="AD83" s="23" t="s">
        <v>41</v>
      </c>
      <c r="AE83" s="14" t="s">
        <v>47</v>
      </c>
      <c r="AF83" s="14" t="s">
        <v>48</v>
      </c>
      <c r="AG83" s="14" t="s">
        <v>44</v>
      </c>
      <c r="AH83" s="14" t="s">
        <v>49</v>
      </c>
    </row>
    <row r="84" spans="1:34" s="14" customFormat="1" x14ac:dyDescent="0.3">
      <c r="A84" s="19">
        <v>45281</v>
      </c>
      <c r="B84" s="14" t="s">
        <v>290</v>
      </c>
      <c r="C84" s="14" t="s">
        <v>215</v>
      </c>
      <c r="E84" s="14" t="s">
        <v>62</v>
      </c>
      <c r="F84" s="14" t="s">
        <v>63</v>
      </c>
      <c r="G84" s="14" t="s">
        <v>64</v>
      </c>
      <c r="H84" s="27">
        <v>12384</v>
      </c>
      <c r="I84" s="19" t="s">
        <v>291</v>
      </c>
      <c r="J84" s="19"/>
      <c r="K84" s="21"/>
      <c r="L84" s="19"/>
      <c r="M84" s="19"/>
      <c r="N84" s="19"/>
      <c r="O84" s="14">
        <f>7*12</f>
        <v>84</v>
      </c>
      <c r="P84" s="12">
        <v>22.25</v>
      </c>
      <c r="Q84" s="15">
        <v>16.899999999999999</v>
      </c>
      <c r="R84" s="10">
        <f t="shared" si="23"/>
        <v>39.15</v>
      </c>
      <c r="S84" s="15">
        <v>0.5</v>
      </c>
      <c r="T84" s="12">
        <v>40</v>
      </c>
      <c r="U84" s="10">
        <f t="shared" si="17"/>
        <v>5.7142857142857144</v>
      </c>
      <c r="V84" s="26">
        <v>6</v>
      </c>
      <c r="W84" s="52" t="s">
        <v>40</v>
      </c>
      <c r="X84" s="15">
        <f t="shared" si="18"/>
        <v>19.574999999999999</v>
      </c>
      <c r="Y84" s="16">
        <f t="shared" si="19"/>
        <v>0.8571428571428571</v>
      </c>
      <c r="Z84" s="15">
        <f t="shared" si="20"/>
        <v>2.7964285714285713</v>
      </c>
      <c r="AA84" s="12">
        <f>X84+T84</f>
        <v>59.575000000000003</v>
      </c>
      <c r="AB84" s="15">
        <f t="shared" si="21"/>
        <v>8.5107142857142861</v>
      </c>
      <c r="AC84" s="17">
        <f t="shared" si="22"/>
        <v>0.38250401284109153</v>
      </c>
      <c r="AD84" s="23"/>
    </row>
    <row r="85" spans="1:34" s="14" customFormat="1" ht="100.8" x14ac:dyDescent="0.3">
      <c r="A85" s="19">
        <v>43951</v>
      </c>
      <c r="B85" s="14" t="s">
        <v>290</v>
      </c>
      <c r="C85" s="14" t="s">
        <v>1000</v>
      </c>
      <c r="D85" s="14" t="s">
        <v>1001</v>
      </c>
      <c r="E85" s="14" t="s">
        <v>62</v>
      </c>
      <c r="F85" s="14" t="s">
        <v>63</v>
      </c>
      <c r="G85" s="14" t="s">
        <v>64</v>
      </c>
      <c r="H85" s="20">
        <v>53133</v>
      </c>
      <c r="I85" s="14" t="s">
        <v>74</v>
      </c>
      <c r="K85" s="21"/>
      <c r="L85" s="19">
        <v>44562</v>
      </c>
      <c r="M85" s="19">
        <v>46752</v>
      </c>
      <c r="N85" s="19"/>
      <c r="O85" s="14">
        <v>60</v>
      </c>
      <c r="P85" s="22">
        <v>21.25</v>
      </c>
      <c r="Q85" s="10">
        <v>17.329999999999998</v>
      </c>
      <c r="R85" s="10">
        <f t="shared" si="23"/>
        <v>38.58</v>
      </c>
      <c r="S85" s="15">
        <v>0.5</v>
      </c>
      <c r="T85" s="12">
        <v>4.71</v>
      </c>
      <c r="U85" s="10">
        <f t="shared" si="17"/>
        <v>0.94199999999999995</v>
      </c>
      <c r="V85" s="26">
        <v>3.25</v>
      </c>
      <c r="W85" s="14" t="s">
        <v>169</v>
      </c>
      <c r="X85" s="15">
        <f t="shared" si="18"/>
        <v>10.448749999999999</v>
      </c>
      <c r="Y85" s="16">
        <f t="shared" si="19"/>
        <v>0.65</v>
      </c>
      <c r="Z85" s="15">
        <f t="shared" si="20"/>
        <v>2.0897499999999996</v>
      </c>
      <c r="AA85" s="12">
        <f>X85+T85</f>
        <v>15.158749999999998</v>
      </c>
      <c r="AB85" s="15">
        <f t="shared" si="21"/>
        <v>3.0317499999999997</v>
      </c>
      <c r="AC85" s="17">
        <f t="shared" si="22"/>
        <v>0.1426705882352941</v>
      </c>
      <c r="AD85" s="23" t="s">
        <v>1002</v>
      </c>
      <c r="AE85" s="14" t="s">
        <v>42</v>
      </c>
      <c r="AG85" s="14" t="s">
        <v>1003</v>
      </c>
      <c r="AH85" s="14" t="s">
        <v>1004</v>
      </c>
    </row>
    <row r="86" spans="1:34" s="14" customFormat="1" ht="28.8" x14ac:dyDescent="0.3">
      <c r="A86" s="19">
        <v>44455</v>
      </c>
      <c r="B86" s="14" t="s">
        <v>756</v>
      </c>
      <c r="C86" s="14" t="s">
        <v>757</v>
      </c>
      <c r="D86" s="14" t="s">
        <v>758</v>
      </c>
      <c r="E86" s="14" t="s">
        <v>144</v>
      </c>
      <c r="F86" s="14" t="s">
        <v>37</v>
      </c>
      <c r="G86" s="14" t="s">
        <v>64</v>
      </c>
      <c r="H86" s="20">
        <v>52605</v>
      </c>
      <c r="I86" s="14" t="s">
        <v>39</v>
      </c>
      <c r="K86" s="21"/>
      <c r="L86" s="19">
        <v>44531</v>
      </c>
      <c r="M86" s="19">
        <v>48182</v>
      </c>
      <c r="N86" s="19"/>
      <c r="O86" s="14">
        <v>120</v>
      </c>
      <c r="P86" s="22">
        <v>16.5</v>
      </c>
      <c r="Q86" s="10">
        <v>12.67</v>
      </c>
      <c r="R86" s="10">
        <f t="shared" si="23"/>
        <v>29.17</v>
      </c>
      <c r="S86" s="11">
        <v>2.5000000000000001E-2</v>
      </c>
      <c r="T86" s="12">
        <v>50</v>
      </c>
      <c r="U86" s="10">
        <f t="shared" si="17"/>
        <v>5</v>
      </c>
      <c r="V86" s="26">
        <v>12</v>
      </c>
      <c r="W86" s="14" t="s">
        <v>40</v>
      </c>
      <c r="X86" s="15">
        <f t="shared" si="18"/>
        <v>29.17</v>
      </c>
      <c r="Y86" s="16">
        <f t="shared" si="19"/>
        <v>1.2</v>
      </c>
      <c r="Z86" s="15">
        <f t="shared" si="20"/>
        <v>2.9170000000000003</v>
      </c>
      <c r="AA86" s="12">
        <f>X86+T86</f>
        <v>79.17</v>
      </c>
      <c r="AB86" s="15">
        <f t="shared" si="21"/>
        <v>7.9169999999999998</v>
      </c>
      <c r="AC86" s="17">
        <f t="shared" si="22"/>
        <v>0.47981818181818181</v>
      </c>
      <c r="AD86" s="23" t="s">
        <v>759</v>
      </c>
      <c r="AE86" s="14" t="s">
        <v>149</v>
      </c>
      <c r="AF86" s="14" t="s">
        <v>760</v>
      </c>
      <c r="AH86" s="14" t="s">
        <v>761</v>
      </c>
    </row>
    <row r="87" spans="1:34" s="14" customFormat="1" ht="57.6" x14ac:dyDescent="0.3">
      <c r="A87" s="19">
        <v>43951</v>
      </c>
      <c r="B87" s="14" t="s">
        <v>756</v>
      </c>
      <c r="C87" s="14" t="s">
        <v>942</v>
      </c>
      <c r="D87" s="14" t="s">
        <v>943</v>
      </c>
      <c r="E87" s="14" t="s">
        <v>184</v>
      </c>
      <c r="F87" s="14" t="s">
        <v>37</v>
      </c>
      <c r="G87" s="14" t="s">
        <v>38</v>
      </c>
      <c r="H87" s="20">
        <v>140807</v>
      </c>
      <c r="I87" s="14" t="s">
        <v>74</v>
      </c>
      <c r="K87" s="21">
        <v>43405</v>
      </c>
      <c r="L87" s="19">
        <v>43199</v>
      </c>
      <c r="M87" s="19">
        <v>46120</v>
      </c>
      <c r="N87" s="19"/>
      <c r="O87" s="14">
        <v>96</v>
      </c>
      <c r="P87" s="22">
        <v>17.09</v>
      </c>
      <c r="Q87" s="10">
        <v>9.31</v>
      </c>
      <c r="R87" s="10">
        <f t="shared" si="23"/>
        <v>26.4</v>
      </c>
      <c r="S87" s="11">
        <v>2.75E-2</v>
      </c>
      <c r="T87" s="12">
        <v>40</v>
      </c>
      <c r="U87" s="10">
        <f t="shared" si="17"/>
        <v>5</v>
      </c>
      <c r="V87" s="26">
        <v>10</v>
      </c>
      <c r="W87" s="14" t="s">
        <v>40</v>
      </c>
      <c r="X87" s="15">
        <f t="shared" si="18"/>
        <v>22</v>
      </c>
      <c r="Y87" s="16">
        <f t="shared" si="19"/>
        <v>1.25</v>
      </c>
      <c r="Z87" s="15">
        <f t="shared" si="20"/>
        <v>2.75</v>
      </c>
      <c r="AA87" s="12">
        <f>X87+T87</f>
        <v>62</v>
      </c>
      <c r="AB87" s="15">
        <f t="shared" si="21"/>
        <v>7.75</v>
      </c>
      <c r="AC87" s="17">
        <f t="shared" si="22"/>
        <v>0.45348156816851959</v>
      </c>
      <c r="AD87" s="23" t="s">
        <v>944</v>
      </c>
      <c r="AE87" s="14" t="s">
        <v>149</v>
      </c>
      <c r="AF87" s="14" t="s">
        <v>945</v>
      </c>
      <c r="AG87" s="14" t="s">
        <v>946</v>
      </c>
      <c r="AH87" s="14" t="s">
        <v>947</v>
      </c>
    </row>
    <row r="88" spans="1:34" s="14" customFormat="1" x14ac:dyDescent="0.3">
      <c r="A88" s="19">
        <v>44567</v>
      </c>
      <c r="B88" s="14" t="s">
        <v>717</v>
      </c>
      <c r="C88" s="14" t="s">
        <v>718</v>
      </c>
      <c r="D88" s="14" t="s">
        <v>719</v>
      </c>
      <c r="E88" s="14" t="s">
        <v>89</v>
      </c>
      <c r="F88" s="14" t="s">
        <v>90</v>
      </c>
      <c r="G88" s="14" t="s">
        <v>64</v>
      </c>
      <c r="H88" s="20">
        <v>20402</v>
      </c>
      <c r="I88" s="14" t="s">
        <v>39</v>
      </c>
      <c r="K88" s="21">
        <v>44197</v>
      </c>
      <c r="L88" s="19">
        <v>44652</v>
      </c>
      <c r="M88" s="19">
        <v>46996</v>
      </c>
      <c r="N88" s="19"/>
      <c r="O88" s="14">
        <v>77</v>
      </c>
      <c r="P88" s="22"/>
      <c r="Q88" s="10"/>
      <c r="R88" s="10">
        <f t="shared" si="23"/>
        <v>0</v>
      </c>
      <c r="S88" s="15">
        <v>0.75</v>
      </c>
      <c r="T88" s="12">
        <v>27.5</v>
      </c>
      <c r="U88" s="10">
        <f t="shared" si="17"/>
        <v>4.2857142857142856</v>
      </c>
      <c r="V88" s="26">
        <v>5</v>
      </c>
      <c r="W88" s="14" t="s">
        <v>40</v>
      </c>
      <c r="X88" s="15">
        <f t="shared" si="18"/>
        <v>0</v>
      </c>
      <c r="Y88" s="16">
        <f t="shared" si="19"/>
        <v>0.77922077922077915</v>
      </c>
      <c r="Z88" s="15">
        <f t="shared" si="20"/>
        <v>0</v>
      </c>
      <c r="AA88" s="12">
        <f>T88+X88</f>
        <v>27.5</v>
      </c>
      <c r="AB88" s="15">
        <f t="shared" si="21"/>
        <v>4.2857142857142856</v>
      </c>
      <c r="AC88" s="17" t="e">
        <f t="shared" si="22"/>
        <v>#DIV/0!</v>
      </c>
      <c r="AD88" s="23" t="s">
        <v>720</v>
      </c>
      <c r="AE88" s="8" t="s">
        <v>91</v>
      </c>
      <c r="AF88" s="14" t="s">
        <v>721</v>
      </c>
      <c r="AG88" s="14" t="s">
        <v>190</v>
      </c>
      <c r="AH88" s="14" t="s">
        <v>722</v>
      </c>
    </row>
    <row r="89" spans="1:34" s="14" customFormat="1" ht="28.8" x14ac:dyDescent="0.3">
      <c r="A89" s="19">
        <v>45805</v>
      </c>
      <c r="B89" s="14" t="s">
        <v>104</v>
      </c>
      <c r="C89" s="14" t="s">
        <v>105</v>
      </c>
      <c r="D89" s="14" t="s">
        <v>106</v>
      </c>
      <c r="E89" s="14" t="s">
        <v>62</v>
      </c>
      <c r="F89" s="14" t="s">
        <v>63</v>
      </c>
      <c r="G89" s="14" t="s">
        <v>64</v>
      </c>
      <c r="H89" s="25">
        <v>38757</v>
      </c>
      <c r="I89" s="14" t="s">
        <v>39</v>
      </c>
      <c r="K89" s="57"/>
      <c r="L89" s="19">
        <v>45931</v>
      </c>
      <c r="M89" s="19">
        <v>49217</v>
      </c>
      <c r="N89" s="19"/>
      <c r="O89" s="14">
        <v>132</v>
      </c>
      <c r="P89" s="12">
        <v>21.5</v>
      </c>
      <c r="Q89" s="15">
        <v>17.07</v>
      </c>
      <c r="R89" s="10">
        <f t="shared" si="23"/>
        <v>38.57</v>
      </c>
      <c r="S89" s="15">
        <v>0.5</v>
      </c>
      <c r="T89" s="12">
        <v>110</v>
      </c>
      <c r="U89" s="10">
        <f t="shared" si="17"/>
        <v>10</v>
      </c>
      <c r="V89" s="13">
        <v>16</v>
      </c>
      <c r="W89" s="52" t="s">
        <v>40</v>
      </c>
      <c r="X89" s="15">
        <f t="shared" si="18"/>
        <v>51.426666666666662</v>
      </c>
      <c r="Y89" s="16">
        <f t="shared" si="19"/>
        <v>1.4545454545454546</v>
      </c>
      <c r="Z89" s="15">
        <f t="shared" si="20"/>
        <v>4.6751515151515148</v>
      </c>
      <c r="AA89" s="12">
        <f>X89+T89</f>
        <v>161.42666666666668</v>
      </c>
      <c r="AB89" s="15">
        <f t="shared" si="21"/>
        <v>14.675151515151516</v>
      </c>
      <c r="AC89" s="17">
        <f t="shared" si="22"/>
        <v>0.68256518675123334</v>
      </c>
      <c r="AD89" s="23"/>
      <c r="AE89" s="14" t="s">
        <v>42</v>
      </c>
      <c r="AF89" s="14" t="s">
        <v>107</v>
      </c>
      <c r="AH89" s="14" t="s">
        <v>108</v>
      </c>
    </row>
    <row r="90" spans="1:34" s="14" customFormat="1" x14ac:dyDescent="0.3">
      <c r="A90" s="7">
        <v>45420</v>
      </c>
      <c r="B90" s="8" t="s">
        <v>221</v>
      </c>
      <c r="C90" s="8" t="s">
        <v>222</v>
      </c>
      <c r="D90" s="8" t="s">
        <v>223</v>
      </c>
      <c r="E90" s="8" t="s">
        <v>194</v>
      </c>
      <c r="F90" s="8" t="s">
        <v>63</v>
      </c>
      <c r="G90" s="8" t="s">
        <v>64</v>
      </c>
      <c r="H90" s="9">
        <v>5742</v>
      </c>
      <c r="I90" s="8" t="s">
        <v>39</v>
      </c>
      <c r="J90" s="8"/>
      <c r="K90" s="8"/>
      <c r="L90" s="7">
        <v>45383</v>
      </c>
      <c r="M90" s="7">
        <v>47391</v>
      </c>
      <c r="N90" s="7"/>
      <c r="O90" s="8">
        <v>66</v>
      </c>
      <c r="P90" s="54">
        <v>19.5</v>
      </c>
      <c r="Q90" s="55">
        <v>16.510000000000002</v>
      </c>
      <c r="R90" s="10">
        <f t="shared" si="23"/>
        <v>36.010000000000005</v>
      </c>
      <c r="S90" s="56">
        <v>0.03</v>
      </c>
      <c r="T90" s="54">
        <v>25</v>
      </c>
      <c r="U90" s="10">
        <f t="shared" si="17"/>
        <v>4.5454545454545459</v>
      </c>
      <c r="V90" s="26">
        <v>6</v>
      </c>
      <c r="W90" s="8" t="s">
        <v>40</v>
      </c>
      <c r="X90" s="15">
        <f t="shared" si="18"/>
        <v>18.005000000000003</v>
      </c>
      <c r="Y90" s="16">
        <f t="shared" si="19"/>
        <v>1.0909090909090908</v>
      </c>
      <c r="Z90" s="15">
        <f t="shared" si="20"/>
        <v>3.2736363636363639</v>
      </c>
      <c r="AA90" s="12">
        <f>X90+T90</f>
        <v>43.005000000000003</v>
      </c>
      <c r="AB90" s="15">
        <f t="shared" si="21"/>
        <v>7.8190909090909093</v>
      </c>
      <c r="AC90" s="17">
        <f t="shared" si="22"/>
        <v>0.40097902097902099</v>
      </c>
      <c r="AD90" s="18" t="s">
        <v>224</v>
      </c>
      <c r="AE90" s="8" t="s">
        <v>91</v>
      </c>
      <c r="AF90" s="8" t="s">
        <v>225</v>
      </c>
      <c r="AG90" s="8"/>
      <c r="AH90" s="8"/>
    </row>
    <row r="91" spans="1:34" s="14" customFormat="1" ht="72" x14ac:dyDescent="0.3">
      <c r="A91" s="19">
        <v>44754</v>
      </c>
      <c r="B91" s="14" t="s">
        <v>609</v>
      </c>
      <c r="C91" s="14" t="s">
        <v>192</v>
      </c>
      <c r="D91" s="14" t="s">
        <v>610</v>
      </c>
      <c r="E91" s="14" t="s">
        <v>194</v>
      </c>
      <c r="F91" s="14" t="s">
        <v>63</v>
      </c>
      <c r="G91" s="14" t="s">
        <v>64</v>
      </c>
      <c r="H91" s="20">
        <v>50000</v>
      </c>
      <c r="I91" s="14" t="s">
        <v>39</v>
      </c>
      <c r="K91" s="21"/>
      <c r="L91" s="19">
        <v>44896</v>
      </c>
      <c r="M91" s="19">
        <v>49278</v>
      </c>
      <c r="N91" s="19"/>
      <c r="O91" s="14">
        <v>144</v>
      </c>
      <c r="P91" s="22">
        <v>15.5</v>
      </c>
      <c r="Q91" s="10">
        <v>11</v>
      </c>
      <c r="R91" s="10">
        <f t="shared" si="23"/>
        <v>26.5</v>
      </c>
      <c r="S91" s="15">
        <v>0.5</v>
      </c>
      <c r="T91" s="12">
        <v>65</v>
      </c>
      <c r="U91" s="10">
        <f t="shared" si="17"/>
        <v>5.416666666666667</v>
      </c>
      <c r="V91" s="26">
        <v>12</v>
      </c>
      <c r="W91" s="14" t="s">
        <v>40</v>
      </c>
      <c r="X91" s="15">
        <f t="shared" si="18"/>
        <v>26.5</v>
      </c>
      <c r="Y91" s="16">
        <f t="shared" si="19"/>
        <v>1</v>
      </c>
      <c r="Z91" s="15">
        <f t="shared" si="20"/>
        <v>2.2083333333333335</v>
      </c>
      <c r="AA91" s="12">
        <f>T91+X91</f>
        <v>91.5</v>
      </c>
      <c r="AB91" s="15">
        <f t="shared" si="21"/>
        <v>7.625</v>
      </c>
      <c r="AC91" s="17">
        <f t="shared" si="22"/>
        <v>0.49193548387096775</v>
      </c>
      <c r="AD91" s="23" t="s">
        <v>611</v>
      </c>
      <c r="AE91" s="14" t="s">
        <v>288</v>
      </c>
      <c r="AF91" s="14" t="s">
        <v>612</v>
      </c>
      <c r="AG91" s="14" t="s">
        <v>613</v>
      </c>
      <c r="AH91" s="14" t="s">
        <v>614</v>
      </c>
    </row>
    <row r="92" spans="1:34" s="14" customFormat="1" ht="28.8" x14ac:dyDescent="0.3">
      <c r="A92" s="19">
        <v>43951</v>
      </c>
      <c r="B92" s="14" t="s">
        <v>1049</v>
      </c>
      <c r="C92" s="14" t="s">
        <v>509</v>
      </c>
      <c r="D92" s="14" t="s">
        <v>247</v>
      </c>
      <c r="E92" s="14" t="s">
        <v>194</v>
      </c>
      <c r="F92" s="14" t="s">
        <v>63</v>
      </c>
      <c r="G92" s="14" t="s">
        <v>64</v>
      </c>
      <c r="H92" s="20">
        <v>6518</v>
      </c>
      <c r="I92" s="14" t="s">
        <v>39</v>
      </c>
      <c r="K92" s="21">
        <v>43160</v>
      </c>
      <c r="L92" s="19">
        <v>43480</v>
      </c>
      <c r="M92" s="19">
        <v>47497</v>
      </c>
      <c r="N92" s="19"/>
      <c r="O92" s="14">
        <v>132</v>
      </c>
      <c r="P92" s="22">
        <v>14.25</v>
      </c>
      <c r="Q92" s="10">
        <v>14.28</v>
      </c>
      <c r="R92" s="10">
        <f t="shared" si="23"/>
        <v>28.53</v>
      </c>
      <c r="S92" s="15">
        <v>0.5</v>
      </c>
      <c r="T92" s="12">
        <v>60</v>
      </c>
      <c r="U92" s="10">
        <f t="shared" si="17"/>
        <v>5.4545454545454541</v>
      </c>
      <c r="V92" s="13">
        <v>0</v>
      </c>
      <c r="X92" s="15">
        <f t="shared" si="18"/>
        <v>0</v>
      </c>
      <c r="Y92" s="16">
        <f t="shared" si="19"/>
        <v>0</v>
      </c>
      <c r="Z92" s="15">
        <f t="shared" si="20"/>
        <v>0</v>
      </c>
      <c r="AA92" s="12">
        <f>T92+X92</f>
        <v>60</v>
      </c>
      <c r="AB92" s="15">
        <f t="shared" si="21"/>
        <v>5.4545454545454541</v>
      </c>
      <c r="AC92" s="17">
        <f t="shared" si="22"/>
        <v>0.38277511961722488</v>
      </c>
      <c r="AD92" s="23" t="s">
        <v>248</v>
      </c>
      <c r="AE92" s="8" t="s">
        <v>91</v>
      </c>
      <c r="AF92" s="14" t="s">
        <v>131</v>
      </c>
    </row>
    <row r="93" spans="1:34" s="14" customFormat="1" x14ac:dyDescent="0.3">
      <c r="A93" s="19">
        <v>45281</v>
      </c>
      <c r="B93" s="14" t="s">
        <v>279</v>
      </c>
      <c r="C93" s="14" t="s">
        <v>60</v>
      </c>
      <c r="D93" s="14" t="s">
        <v>61</v>
      </c>
      <c r="E93" s="14" t="s">
        <v>62</v>
      </c>
      <c r="F93" s="14" t="s">
        <v>63</v>
      </c>
      <c r="G93" s="14" t="s">
        <v>64</v>
      </c>
      <c r="H93" s="27">
        <v>5300</v>
      </c>
      <c r="I93" s="14" t="s">
        <v>39</v>
      </c>
      <c r="K93" s="21"/>
      <c r="L93" s="19">
        <v>44440</v>
      </c>
      <c r="M93" s="19">
        <v>47664</v>
      </c>
      <c r="N93" s="19"/>
      <c r="O93" s="14">
        <v>106</v>
      </c>
      <c r="P93" s="12">
        <v>22</v>
      </c>
      <c r="Q93" s="15">
        <v>16.87</v>
      </c>
      <c r="R93" s="10">
        <f t="shared" si="23"/>
        <v>38.870000000000005</v>
      </c>
      <c r="S93" s="28">
        <v>0.5</v>
      </c>
      <c r="T93" s="12">
        <v>60</v>
      </c>
      <c r="U93" s="10">
        <f t="shared" si="17"/>
        <v>6.7924528301886786</v>
      </c>
      <c r="V93" s="26">
        <v>10</v>
      </c>
      <c r="W93" s="52" t="s">
        <v>40</v>
      </c>
      <c r="X93" s="15">
        <f t="shared" si="18"/>
        <v>32.391666666666673</v>
      </c>
      <c r="Y93" s="16">
        <f t="shared" si="19"/>
        <v>1.1320754716981132</v>
      </c>
      <c r="Z93" s="15">
        <f t="shared" si="20"/>
        <v>3.6669811320754722</v>
      </c>
      <c r="AA93" s="12">
        <f>X93+T93</f>
        <v>92.39166666666668</v>
      </c>
      <c r="AB93" s="15">
        <f t="shared" si="21"/>
        <v>10.459433962264152</v>
      </c>
      <c r="AC93" s="17">
        <f t="shared" si="22"/>
        <v>0.47542881646655233</v>
      </c>
      <c r="AD93" s="23"/>
    </row>
    <row r="94" spans="1:34" s="14" customFormat="1" ht="28.8" x14ac:dyDescent="0.3">
      <c r="A94" s="19">
        <v>43951</v>
      </c>
      <c r="B94" s="14" t="s">
        <v>1053</v>
      </c>
      <c r="C94" s="14" t="s">
        <v>769</v>
      </c>
      <c r="D94" s="14" t="s">
        <v>770</v>
      </c>
      <c r="E94" s="14" t="s">
        <v>144</v>
      </c>
      <c r="F94" s="14" t="s">
        <v>37</v>
      </c>
      <c r="G94" s="14" t="s">
        <v>64</v>
      </c>
      <c r="H94" s="20">
        <v>8682</v>
      </c>
      <c r="I94" s="14" t="s">
        <v>488</v>
      </c>
      <c r="K94" s="21"/>
      <c r="L94" s="19">
        <v>43586</v>
      </c>
      <c r="M94" s="19">
        <v>47542</v>
      </c>
      <c r="N94" s="19">
        <v>46446</v>
      </c>
      <c r="O94" s="14">
        <v>130</v>
      </c>
      <c r="P94" s="22">
        <v>17</v>
      </c>
      <c r="Q94" s="10">
        <v>17.010000000000002</v>
      </c>
      <c r="R94" s="10">
        <f t="shared" si="23"/>
        <v>34.010000000000005</v>
      </c>
      <c r="S94" s="15">
        <v>0.5</v>
      </c>
      <c r="T94" s="12">
        <v>33.33</v>
      </c>
      <c r="U94" s="10">
        <f t="shared" si="17"/>
        <v>3.0766153846153843</v>
      </c>
      <c r="V94" s="26">
        <v>10</v>
      </c>
      <c r="W94" s="14" t="s">
        <v>40</v>
      </c>
      <c r="X94" s="15">
        <f t="shared" si="18"/>
        <v>28.341666666666672</v>
      </c>
      <c r="Y94" s="16">
        <f t="shared" si="19"/>
        <v>0.92307692307692302</v>
      </c>
      <c r="Z94" s="15">
        <f t="shared" si="20"/>
        <v>2.6161538461538467</v>
      </c>
      <c r="AA94" s="12">
        <f>T94+X94</f>
        <v>61.671666666666667</v>
      </c>
      <c r="AB94" s="15">
        <f t="shared" si="21"/>
        <v>5.6927692307692306</v>
      </c>
      <c r="AC94" s="17">
        <f t="shared" si="22"/>
        <v>0.33486877828054296</v>
      </c>
      <c r="AD94" s="23" t="s">
        <v>982</v>
      </c>
    </row>
    <row r="95" spans="1:34" s="14" customFormat="1" ht="28.8" x14ac:dyDescent="0.3">
      <c r="A95" s="19">
        <v>43951</v>
      </c>
      <c r="B95" s="14" t="s">
        <v>1050</v>
      </c>
      <c r="C95" s="14" t="s">
        <v>1051</v>
      </c>
      <c r="D95" s="14" t="s">
        <v>863</v>
      </c>
      <c r="E95" s="14" t="s">
        <v>89</v>
      </c>
      <c r="F95" s="14" t="s">
        <v>90</v>
      </c>
      <c r="G95" s="14" t="s">
        <v>64</v>
      </c>
      <c r="H95" s="20">
        <v>11222</v>
      </c>
      <c r="K95" s="21"/>
      <c r="L95" s="19">
        <v>43497</v>
      </c>
      <c r="M95" s="19">
        <v>47514</v>
      </c>
      <c r="N95" s="19"/>
      <c r="O95" s="14">
        <v>132</v>
      </c>
      <c r="P95" s="22">
        <v>13</v>
      </c>
      <c r="Q95" s="10">
        <v>14.07</v>
      </c>
      <c r="R95" s="10">
        <f t="shared" si="23"/>
        <v>27.07</v>
      </c>
      <c r="S95" s="15">
        <v>0.5</v>
      </c>
      <c r="T95" s="12">
        <v>55</v>
      </c>
      <c r="U95" s="10">
        <f t="shared" si="17"/>
        <v>5</v>
      </c>
      <c r="V95" s="26">
        <v>12</v>
      </c>
      <c r="W95" s="14" t="s">
        <v>40</v>
      </c>
      <c r="X95" s="15">
        <f t="shared" si="18"/>
        <v>27.07</v>
      </c>
      <c r="Y95" s="16">
        <f t="shared" si="19"/>
        <v>1.0909090909090908</v>
      </c>
      <c r="Z95" s="15">
        <f t="shared" si="20"/>
        <v>2.4609090909090909</v>
      </c>
      <c r="AA95" s="12">
        <f>X95+T95</f>
        <v>82.07</v>
      </c>
      <c r="AB95" s="15">
        <f t="shared" si="21"/>
        <v>7.46090909090909</v>
      </c>
      <c r="AC95" s="17">
        <f t="shared" si="22"/>
        <v>0.57391608391608384</v>
      </c>
      <c r="AD95" s="23" t="s">
        <v>742</v>
      </c>
      <c r="AE95" s="14" t="s">
        <v>288</v>
      </c>
      <c r="AF95" s="14" t="s">
        <v>1052</v>
      </c>
    </row>
    <row r="96" spans="1:34" s="14" customFormat="1" ht="28.8" x14ac:dyDescent="0.3">
      <c r="A96" s="19">
        <v>45201</v>
      </c>
      <c r="B96" s="14" t="s">
        <v>328</v>
      </c>
      <c r="C96" s="14" t="s">
        <v>329</v>
      </c>
      <c r="D96" s="14" t="s">
        <v>330</v>
      </c>
      <c r="E96" s="14" t="s">
        <v>89</v>
      </c>
      <c r="F96" s="14" t="s">
        <v>90</v>
      </c>
      <c r="G96" s="14" t="s">
        <v>64</v>
      </c>
      <c r="H96" s="20">
        <v>10063</v>
      </c>
      <c r="I96" s="14" t="s">
        <v>74</v>
      </c>
      <c r="K96" s="21"/>
      <c r="L96" s="19">
        <v>45444</v>
      </c>
      <c r="M96" s="19">
        <v>51287</v>
      </c>
      <c r="N96" s="19"/>
      <c r="O96" s="14">
        <v>132</v>
      </c>
      <c r="P96" s="22"/>
      <c r="Q96" s="10"/>
      <c r="R96" s="10">
        <f t="shared" si="23"/>
        <v>0</v>
      </c>
      <c r="S96" s="15">
        <v>0.5</v>
      </c>
      <c r="T96" s="12"/>
      <c r="U96" s="10">
        <f t="shared" si="17"/>
        <v>0</v>
      </c>
      <c r="V96" s="26"/>
      <c r="X96" s="15">
        <f t="shared" si="18"/>
        <v>0</v>
      </c>
      <c r="Y96" s="16">
        <f t="shared" si="19"/>
        <v>0</v>
      </c>
      <c r="Z96" s="15">
        <f t="shared" si="20"/>
        <v>0</v>
      </c>
      <c r="AA96" s="12">
        <f>X96+T96</f>
        <v>0</v>
      </c>
      <c r="AB96" s="15">
        <f t="shared" si="21"/>
        <v>0</v>
      </c>
      <c r="AC96" s="17"/>
      <c r="AD96" s="23"/>
      <c r="AE96" s="14" t="s">
        <v>98</v>
      </c>
      <c r="AF96" s="14" t="s">
        <v>331</v>
      </c>
      <c r="AH96" s="14" t="s">
        <v>332</v>
      </c>
    </row>
    <row r="97" spans="1:34" s="14" customFormat="1" ht="28.8" x14ac:dyDescent="0.3">
      <c r="A97" s="19">
        <v>43951</v>
      </c>
      <c r="B97" s="14" t="s">
        <v>960</v>
      </c>
      <c r="C97" s="14" t="s">
        <v>961</v>
      </c>
      <c r="D97" s="14" t="s">
        <v>208</v>
      </c>
      <c r="E97" s="14" t="s">
        <v>62</v>
      </c>
      <c r="F97" s="14" t="s">
        <v>63</v>
      </c>
      <c r="G97" s="14" t="s">
        <v>64</v>
      </c>
      <c r="H97" s="20">
        <v>18375</v>
      </c>
      <c r="I97" s="14" t="s">
        <v>39</v>
      </c>
      <c r="K97" s="21">
        <v>43435</v>
      </c>
      <c r="L97" s="19">
        <v>43525</v>
      </c>
      <c r="M97" s="19">
        <v>46295</v>
      </c>
      <c r="N97" s="19"/>
      <c r="O97" s="14">
        <v>91</v>
      </c>
      <c r="P97" s="22">
        <v>20.25</v>
      </c>
      <c r="Q97" s="10">
        <v>15.91</v>
      </c>
      <c r="R97" s="10">
        <f t="shared" si="23"/>
        <v>36.159999999999997</v>
      </c>
      <c r="S97" s="15">
        <v>0.5</v>
      </c>
      <c r="T97" s="12">
        <v>45</v>
      </c>
      <c r="U97" s="10">
        <f t="shared" si="17"/>
        <v>5.9340659340659343</v>
      </c>
      <c r="V97" s="26">
        <v>7</v>
      </c>
      <c r="W97" s="14" t="s">
        <v>337</v>
      </c>
      <c r="X97" s="15">
        <f t="shared" si="18"/>
        <v>21.093333333333334</v>
      </c>
      <c r="Y97" s="16">
        <f t="shared" si="19"/>
        <v>0.92307692307692313</v>
      </c>
      <c r="Z97" s="15">
        <f t="shared" si="20"/>
        <v>2.7815384615384615</v>
      </c>
      <c r="AA97" s="12">
        <f>X97+T97</f>
        <v>66.093333333333334</v>
      </c>
      <c r="AB97" s="15">
        <f t="shared" si="21"/>
        <v>8.7156043956043963</v>
      </c>
      <c r="AC97" s="17">
        <f t="shared" ref="AC97:AC144" si="24">AB97/P97</f>
        <v>0.43040021706688375</v>
      </c>
      <c r="AD97" s="23" t="s">
        <v>209</v>
      </c>
      <c r="AE97" s="8" t="s">
        <v>91</v>
      </c>
      <c r="AF97" s="14" t="s">
        <v>116</v>
      </c>
      <c r="AH97" s="14" t="s">
        <v>962</v>
      </c>
    </row>
    <row r="98" spans="1:34" s="14" customFormat="1" x14ac:dyDescent="0.3">
      <c r="A98" s="19">
        <v>43951</v>
      </c>
      <c r="B98" s="14" t="s">
        <v>1056</v>
      </c>
      <c r="D98" s="14" t="s">
        <v>1057</v>
      </c>
      <c r="E98" s="14" t="s">
        <v>144</v>
      </c>
      <c r="F98" s="14" t="s">
        <v>37</v>
      </c>
      <c r="G98" s="14" t="s">
        <v>64</v>
      </c>
      <c r="H98" s="20">
        <v>34846</v>
      </c>
      <c r="I98" s="14" t="s">
        <v>39</v>
      </c>
      <c r="K98" s="21"/>
      <c r="L98" s="19">
        <v>43525</v>
      </c>
      <c r="M98" s="19">
        <v>47542</v>
      </c>
      <c r="N98" s="19"/>
      <c r="O98" s="14">
        <v>132</v>
      </c>
      <c r="P98" s="22">
        <v>16.5</v>
      </c>
      <c r="Q98" s="10"/>
      <c r="R98" s="10">
        <f t="shared" si="23"/>
        <v>16.5</v>
      </c>
      <c r="S98" s="15">
        <v>0.5</v>
      </c>
      <c r="T98" s="12">
        <v>60</v>
      </c>
      <c r="U98" s="10">
        <f t="shared" si="17"/>
        <v>5.4545454545454541</v>
      </c>
      <c r="V98" s="26">
        <v>11</v>
      </c>
      <c r="W98" s="14" t="s">
        <v>40</v>
      </c>
      <c r="X98" s="15">
        <f t="shared" ref="X98:X129" si="25">(V98/12)*R98</f>
        <v>15.125</v>
      </c>
      <c r="Y98" s="16">
        <f t="shared" si="19"/>
        <v>1</v>
      </c>
      <c r="Z98" s="15">
        <f t="shared" ref="Z98:Z129" si="26">X98/(O98/12)</f>
        <v>1.375</v>
      </c>
      <c r="AA98" s="12">
        <f>X98+T98</f>
        <v>75.125</v>
      </c>
      <c r="AB98" s="15">
        <f t="shared" ref="AB98:AB129" si="27">AA98/(O98/12)</f>
        <v>6.8295454545454541</v>
      </c>
      <c r="AC98" s="17">
        <f t="shared" si="24"/>
        <v>0.41391184573002754</v>
      </c>
      <c r="AD98" s="23" t="s">
        <v>1058</v>
      </c>
      <c r="AE98" s="14" t="s">
        <v>42</v>
      </c>
      <c r="AF98" s="14" t="s">
        <v>1059</v>
      </c>
    </row>
    <row r="99" spans="1:34" s="14" customFormat="1" ht="28.8" x14ac:dyDescent="0.3">
      <c r="A99" s="19">
        <v>44371</v>
      </c>
      <c r="B99" s="14" t="s">
        <v>789</v>
      </c>
      <c r="C99" s="14" t="s">
        <v>757</v>
      </c>
      <c r="D99" s="14" t="s">
        <v>758</v>
      </c>
      <c r="E99" s="14" t="s">
        <v>144</v>
      </c>
      <c r="F99" s="14" t="s">
        <v>37</v>
      </c>
      <c r="G99" s="14" t="s">
        <v>64</v>
      </c>
      <c r="H99" s="20">
        <v>4647</v>
      </c>
      <c r="I99" s="14" t="s">
        <v>39</v>
      </c>
      <c r="K99" s="21"/>
      <c r="L99" s="19">
        <v>44378</v>
      </c>
      <c r="M99" s="19">
        <v>46356</v>
      </c>
      <c r="N99" s="19"/>
      <c r="O99" s="14">
        <v>65</v>
      </c>
      <c r="P99" s="22">
        <v>18</v>
      </c>
      <c r="Q99" s="10">
        <v>12.67</v>
      </c>
      <c r="R99" s="10">
        <f t="shared" si="23"/>
        <v>30.67</v>
      </c>
      <c r="S99" s="15">
        <v>0.5</v>
      </c>
      <c r="T99" s="12">
        <v>60</v>
      </c>
      <c r="U99" s="10">
        <f t="shared" si="17"/>
        <v>11.076923076923077</v>
      </c>
      <c r="V99" s="26">
        <v>5</v>
      </c>
      <c r="W99" s="14" t="s">
        <v>40</v>
      </c>
      <c r="X99" s="15">
        <f t="shared" si="25"/>
        <v>12.779166666666669</v>
      </c>
      <c r="Y99" s="16">
        <f t="shared" si="19"/>
        <v>0.92307692307692302</v>
      </c>
      <c r="Z99" s="15">
        <f t="shared" si="26"/>
        <v>2.3592307692307695</v>
      </c>
      <c r="AA99" s="12">
        <f>X99+T99</f>
        <v>72.779166666666669</v>
      </c>
      <c r="AB99" s="15">
        <f t="shared" si="27"/>
        <v>13.436153846153847</v>
      </c>
      <c r="AC99" s="17">
        <f t="shared" si="24"/>
        <v>0.74645299145299149</v>
      </c>
      <c r="AD99" s="23" t="s">
        <v>790</v>
      </c>
      <c r="AE99" s="14" t="s">
        <v>288</v>
      </c>
      <c r="AF99" s="14" t="s">
        <v>791</v>
      </c>
      <c r="AH99" s="14" t="s">
        <v>792</v>
      </c>
    </row>
    <row r="100" spans="1:34" s="14" customFormat="1" x14ac:dyDescent="0.3">
      <c r="A100" s="19">
        <v>44917</v>
      </c>
      <c r="B100" s="14" t="s">
        <v>520</v>
      </c>
      <c r="C100" s="14" t="s">
        <v>334</v>
      </c>
      <c r="D100" s="14" t="s">
        <v>521</v>
      </c>
      <c r="E100" s="14" t="s">
        <v>336</v>
      </c>
      <c r="F100" s="14" t="s">
        <v>63</v>
      </c>
      <c r="G100" s="14" t="s">
        <v>64</v>
      </c>
      <c r="H100" s="20">
        <v>5471</v>
      </c>
      <c r="I100" s="14" t="s">
        <v>39</v>
      </c>
      <c r="K100" s="21"/>
      <c r="L100" s="19">
        <v>45078</v>
      </c>
      <c r="M100" s="19">
        <v>47938</v>
      </c>
      <c r="N100" s="19"/>
      <c r="O100" s="14">
        <v>94</v>
      </c>
      <c r="P100" s="22">
        <v>11.74</v>
      </c>
      <c r="Q100" s="10">
        <v>8.76</v>
      </c>
      <c r="R100" s="10">
        <f t="shared" si="23"/>
        <v>20.5</v>
      </c>
      <c r="S100" s="15">
        <v>0.5</v>
      </c>
      <c r="T100" s="12">
        <v>25</v>
      </c>
      <c r="U100" s="10">
        <f t="shared" si="17"/>
        <v>3.1914893617021276</v>
      </c>
      <c r="V100" s="26">
        <v>10</v>
      </c>
      <c r="W100" s="14" t="s">
        <v>40</v>
      </c>
      <c r="X100" s="15">
        <f t="shared" si="25"/>
        <v>17.083333333333336</v>
      </c>
      <c r="Y100" s="16">
        <f t="shared" si="19"/>
        <v>1.2765957446808511</v>
      </c>
      <c r="Z100" s="15">
        <f t="shared" si="26"/>
        <v>2.1808510638297878</v>
      </c>
      <c r="AA100" s="12">
        <f>T100+X100</f>
        <v>42.083333333333336</v>
      </c>
      <c r="AB100" s="15">
        <f t="shared" si="27"/>
        <v>5.3723404255319158</v>
      </c>
      <c r="AC100" s="17">
        <f t="shared" si="24"/>
        <v>0.45760991699590425</v>
      </c>
      <c r="AD100" s="23" t="s">
        <v>338</v>
      </c>
    </row>
    <row r="101" spans="1:34" s="14" customFormat="1" ht="57.6" x14ac:dyDescent="0.3">
      <c r="A101" s="19">
        <v>44287</v>
      </c>
      <c r="B101" s="14" t="s">
        <v>830</v>
      </c>
      <c r="C101" s="14" t="s">
        <v>831</v>
      </c>
      <c r="D101" s="14" t="s">
        <v>832</v>
      </c>
      <c r="E101" s="14" t="s">
        <v>62</v>
      </c>
      <c r="F101" s="14" t="s">
        <v>63</v>
      </c>
      <c r="G101" s="14" t="s">
        <v>64</v>
      </c>
      <c r="H101" s="20">
        <v>38003</v>
      </c>
      <c r="I101" s="14" t="s">
        <v>74</v>
      </c>
      <c r="K101" s="21"/>
      <c r="L101" s="19">
        <v>44409</v>
      </c>
      <c r="M101" s="19">
        <v>46387</v>
      </c>
      <c r="N101" s="19"/>
      <c r="O101" s="14">
        <v>65</v>
      </c>
      <c r="P101" s="22">
        <v>21</v>
      </c>
      <c r="Q101" s="10">
        <v>17.87</v>
      </c>
      <c r="R101" s="10">
        <f t="shared" si="23"/>
        <v>38.870000000000005</v>
      </c>
      <c r="S101" s="15">
        <v>0.5</v>
      </c>
      <c r="T101" s="12">
        <v>25</v>
      </c>
      <c r="U101" s="10">
        <f t="shared" si="17"/>
        <v>4.615384615384615</v>
      </c>
      <c r="V101" s="26">
        <v>5</v>
      </c>
      <c r="W101" s="14" t="s">
        <v>169</v>
      </c>
      <c r="X101" s="15">
        <f t="shared" si="25"/>
        <v>16.195833333333336</v>
      </c>
      <c r="Y101" s="16">
        <f t="shared" si="19"/>
        <v>0.92307692307692302</v>
      </c>
      <c r="Z101" s="15">
        <f t="shared" si="26"/>
        <v>2.99</v>
      </c>
      <c r="AA101" s="12">
        <f>T101+X101</f>
        <v>41.19583333333334</v>
      </c>
      <c r="AB101" s="15">
        <f t="shared" si="27"/>
        <v>7.6053846153846161</v>
      </c>
      <c r="AC101" s="17">
        <f t="shared" si="24"/>
        <v>0.36216117216117222</v>
      </c>
      <c r="AD101" s="23" t="s">
        <v>833</v>
      </c>
      <c r="AE101" s="14" t="s">
        <v>834</v>
      </c>
      <c r="AF101" s="14" t="s">
        <v>835</v>
      </c>
      <c r="AH101" s="14" t="s">
        <v>445</v>
      </c>
    </row>
    <row r="102" spans="1:34" s="14" customFormat="1" ht="28.8" x14ac:dyDescent="0.3">
      <c r="A102" s="19">
        <v>44316</v>
      </c>
      <c r="B102" s="14" t="s">
        <v>808</v>
      </c>
      <c r="C102" s="14" t="s">
        <v>128</v>
      </c>
      <c r="D102" s="14" t="s">
        <v>701</v>
      </c>
      <c r="E102" s="14" t="s">
        <v>103</v>
      </c>
      <c r="F102" s="14" t="s">
        <v>37</v>
      </c>
      <c r="G102" s="14" t="s">
        <v>38</v>
      </c>
      <c r="H102" s="20">
        <v>3798</v>
      </c>
      <c r="I102" s="14" t="s">
        <v>39</v>
      </c>
      <c r="K102" s="21"/>
      <c r="L102" s="19">
        <v>44378</v>
      </c>
      <c r="M102" s="19">
        <v>46356</v>
      </c>
      <c r="N102" s="19"/>
      <c r="O102" s="14">
        <v>65</v>
      </c>
      <c r="P102" s="22">
        <v>22.5</v>
      </c>
      <c r="Q102" s="10">
        <v>12.26</v>
      </c>
      <c r="R102" s="10">
        <f t="shared" si="23"/>
        <v>34.76</v>
      </c>
      <c r="S102" s="11">
        <v>2.75E-2</v>
      </c>
      <c r="T102" s="12">
        <v>16</v>
      </c>
      <c r="U102" s="10">
        <f t="shared" si="17"/>
        <v>2.9538461538461536</v>
      </c>
      <c r="V102" s="23"/>
      <c r="X102" s="15">
        <f t="shared" si="25"/>
        <v>0</v>
      </c>
      <c r="Y102" s="16">
        <f t="shared" si="19"/>
        <v>0</v>
      </c>
      <c r="Z102" s="15">
        <f t="shared" si="26"/>
        <v>0</v>
      </c>
      <c r="AA102" s="12">
        <f>T102+X102</f>
        <v>16</v>
      </c>
      <c r="AB102" s="15">
        <f t="shared" si="27"/>
        <v>2.9538461538461536</v>
      </c>
      <c r="AC102" s="17">
        <f t="shared" si="24"/>
        <v>0.13128205128205128</v>
      </c>
      <c r="AD102" s="23" t="s">
        <v>777</v>
      </c>
      <c r="AE102" s="14" t="s">
        <v>98</v>
      </c>
      <c r="AF102" s="14" t="s">
        <v>258</v>
      </c>
      <c r="AG102" s="14" t="s">
        <v>809</v>
      </c>
      <c r="AH102" s="14" t="s">
        <v>230</v>
      </c>
    </row>
    <row r="103" spans="1:34" s="14" customFormat="1" ht="28.8" x14ac:dyDescent="0.3">
      <c r="A103" s="19">
        <v>44760</v>
      </c>
      <c r="B103" s="14" t="s">
        <v>600</v>
      </c>
      <c r="C103" s="14" t="s">
        <v>601</v>
      </c>
      <c r="D103" s="14" t="s">
        <v>602</v>
      </c>
      <c r="E103" s="14" t="s">
        <v>120</v>
      </c>
      <c r="F103" s="14" t="s">
        <v>90</v>
      </c>
      <c r="G103" s="14" t="s">
        <v>55</v>
      </c>
      <c r="H103" s="20">
        <v>14254</v>
      </c>
      <c r="I103" s="14" t="s">
        <v>74</v>
      </c>
      <c r="K103" s="50"/>
      <c r="L103" s="19">
        <v>44958</v>
      </c>
      <c r="M103" s="19">
        <v>46142</v>
      </c>
      <c r="N103" s="51"/>
      <c r="O103" s="14">
        <v>39</v>
      </c>
      <c r="P103" s="22">
        <v>10</v>
      </c>
      <c r="Q103" s="10">
        <v>5.93</v>
      </c>
      <c r="R103" s="10">
        <f t="shared" si="23"/>
        <v>15.93</v>
      </c>
      <c r="S103" s="15">
        <v>0.5</v>
      </c>
      <c r="T103" s="12">
        <v>12.5</v>
      </c>
      <c r="U103" s="10">
        <f t="shared" si="17"/>
        <v>3.8461538461538463</v>
      </c>
      <c r="V103" s="26">
        <v>3</v>
      </c>
      <c r="W103" s="14" t="s">
        <v>40</v>
      </c>
      <c r="X103" s="15">
        <f t="shared" si="25"/>
        <v>3.9824999999999999</v>
      </c>
      <c r="Y103" s="16">
        <f t="shared" si="19"/>
        <v>0.92307692307692313</v>
      </c>
      <c r="Z103" s="15">
        <f t="shared" si="26"/>
        <v>1.2253846153846153</v>
      </c>
      <c r="AA103" s="12">
        <f>T103+X103</f>
        <v>16.482500000000002</v>
      </c>
      <c r="AB103" s="15">
        <f t="shared" si="27"/>
        <v>5.071538461538462</v>
      </c>
      <c r="AC103" s="17">
        <f t="shared" si="24"/>
        <v>0.50715384615384618</v>
      </c>
      <c r="AD103" s="23" t="s">
        <v>603</v>
      </c>
      <c r="AE103" s="8" t="s">
        <v>91</v>
      </c>
      <c r="AF103" s="14" t="s">
        <v>92</v>
      </c>
    </row>
    <row r="104" spans="1:34" s="14" customFormat="1" ht="28.8" x14ac:dyDescent="0.3">
      <c r="A104" s="19">
        <v>45805</v>
      </c>
      <c r="B104" s="14" t="s">
        <v>86</v>
      </c>
      <c r="C104" s="14" t="s">
        <v>87</v>
      </c>
      <c r="D104" s="14" t="s">
        <v>88</v>
      </c>
      <c r="E104" s="14" t="s">
        <v>89</v>
      </c>
      <c r="F104" s="14" t="s">
        <v>90</v>
      </c>
      <c r="G104" s="14" t="s">
        <v>64</v>
      </c>
      <c r="H104" s="25">
        <v>24700</v>
      </c>
      <c r="I104" s="14" t="s">
        <v>39</v>
      </c>
      <c r="K104" s="57"/>
      <c r="L104" s="19">
        <v>45108</v>
      </c>
      <c r="M104" s="19">
        <v>48029</v>
      </c>
      <c r="N104" s="19"/>
      <c r="O104" s="14">
        <v>96</v>
      </c>
      <c r="P104" s="12">
        <v>15</v>
      </c>
      <c r="Q104" s="15"/>
      <c r="R104" s="10">
        <f t="shared" si="23"/>
        <v>15</v>
      </c>
      <c r="S104" s="15">
        <v>0.5</v>
      </c>
      <c r="T104" s="12">
        <v>85</v>
      </c>
      <c r="U104" s="10">
        <f t="shared" si="17"/>
        <v>10.625</v>
      </c>
      <c r="V104" s="13">
        <v>16</v>
      </c>
      <c r="W104" s="52" t="s">
        <v>40</v>
      </c>
      <c r="X104" s="15">
        <f t="shared" si="25"/>
        <v>20</v>
      </c>
      <c r="Y104" s="16">
        <f t="shared" si="19"/>
        <v>2</v>
      </c>
      <c r="Z104" s="15">
        <f t="shared" si="26"/>
        <v>2.5</v>
      </c>
      <c r="AA104" s="12">
        <f>X104+T104</f>
        <v>105</v>
      </c>
      <c r="AB104" s="15">
        <f t="shared" si="27"/>
        <v>13.125</v>
      </c>
      <c r="AC104" s="17">
        <f t="shared" si="24"/>
        <v>0.875</v>
      </c>
      <c r="AD104" s="23"/>
      <c r="AE104" s="14" t="s">
        <v>91</v>
      </c>
      <c r="AF104" s="14" t="s">
        <v>92</v>
      </c>
      <c r="AH104" s="14" t="s">
        <v>93</v>
      </c>
    </row>
    <row r="105" spans="1:34" s="14" customFormat="1" ht="28.8" x14ac:dyDescent="0.3">
      <c r="A105" s="19">
        <v>44224</v>
      </c>
      <c r="B105" s="14" t="s">
        <v>861</v>
      </c>
      <c r="C105" s="14" t="s">
        <v>862</v>
      </c>
      <c r="D105" s="14" t="s">
        <v>863</v>
      </c>
      <c r="E105" s="14" t="s">
        <v>89</v>
      </c>
      <c r="F105" s="14" t="s">
        <v>90</v>
      </c>
      <c r="G105" s="14" t="s">
        <v>64</v>
      </c>
      <c r="H105" s="20">
        <v>8229</v>
      </c>
      <c r="I105" s="14" t="s">
        <v>39</v>
      </c>
      <c r="K105" s="21"/>
      <c r="L105" s="19">
        <v>44197</v>
      </c>
      <c r="M105" s="19">
        <v>46173</v>
      </c>
      <c r="N105" s="19"/>
      <c r="O105" s="14">
        <v>65</v>
      </c>
      <c r="P105" s="22">
        <v>13</v>
      </c>
      <c r="Q105" s="10">
        <v>13.84</v>
      </c>
      <c r="R105" s="10">
        <f t="shared" si="23"/>
        <v>26.84</v>
      </c>
      <c r="S105" s="15">
        <v>0.5</v>
      </c>
      <c r="T105" s="12">
        <v>25</v>
      </c>
      <c r="U105" s="10">
        <f t="shared" si="17"/>
        <v>4.615384615384615</v>
      </c>
      <c r="V105" s="23"/>
      <c r="X105" s="15">
        <f t="shared" si="25"/>
        <v>0</v>
      </c>
      <c r="Y105" s="16">
        <f t="shared" si="19"/>
        <v>0</v>
      </c>
      <c r="Z105" s="15">
        <f t="shared" si="26"/>
        <v>0</v>
      </c>
      <c r="AA105" s="12">
        <f>T105+X105</f>
        <v>25</v>
      </c>
      <c r="AB105" s="15">
        <f t="shared" si="27"/>
        <v>4.615384615384615</v>
      </c>
      <c r="AC105" s="17">
        <f t="shared" si="24"/>
        <v>0.35502958579881655</v>
      </c>
      <c r="AD105" s="23" t="s">
        <v>742</v>
      </c>
      <c r="AE105" s="14" t="s">
        <v>590</v>
      </c>
      <c r="AF105" s="14" t="s">
        <v>864</v>
      </c>
      <c r="AG105" s="14" t="s">
        <v>865</v>
      </c>
      <c r="AH105" s="14" t="s">
        <v>230</v>
      </c>
    </row>
    <row r="106" spans="1:34" s="14" customFormat="1" ht="28.8" x14ac:dyDescent="0.3">
      <c r="A106" s="19">
        <v>44929</v>
      </c>
      <c r="B106" s="14" t="s">
        <v>457</v>
      </c>
      <c r="C106" s="14" t="s">
        <v>491</v>
      </c>
      <c r="D106" s="14" t="s">
        <v>305</v>
      </c>
      <c r="E106" s="14" t="s">
        <v>144</v>
      </c>
      <c r="F106" s="14" t="s">
        <v>37</v>
      </c>
      <c r="G106" s="14" t="s">
        <v>64</v>
      </c>
      <c r="H106" s="20">
        <v>5802</v>
      </c>
      <c r="I106" s="14" t="s">
        <v>39</v>
      </c>
      <c r="K106" s="21"/>
      <c r="L106" s="19">
        <v>44896</v>
      </c>
      <c r="M106" s="19">
        <v>46934</v>
      </c>
      <c r="N106" s="19"/>
      <c r="O106" s="14">
        <v>67</v>
      </c>
      <c r="P106" s="22">
        <v>17.25</v>
      </c>
      <c r="Q106" s="10">
        <v>13.1</v>
      </c>
      <c r="R106" s="10">
        <f t="shared" si="23"/>
        <v>30.35</v>
      </c>
      <c r="S106" s="15">
        <v>0.5</v>
      </c>
      <c r="T106" s="12">
        <v>40</v>
      </c>
      <c r="U106" s="10">
        <f t="shared" si="17"/>
        <v>7.1641791044776122</v>
      </c>
      <c r="V106" s="26">
        <v>7</v>
      </c>
      <c r="W106" s="14" t="s">
        <v>40</v>
      </c>
      <c r="X106" s="15">
        <f t="shared" si="25"/>
        <v>17.704166666666669</v>
      </c>
      <c r="Y106" s="16">
        <f t="shared" si="19"/>
        <v>1.2537313432835822</v>
      </c>
      <c r="Z106" s="15">
        <f t="shared" si="26"/>
        <v>3.1708955223880602</v>
      </c>
      <c r="AA106" s="12">
        <f>X106+T106</f>
        <v>57.704166666666666</v>
      </c>
      <c r="AB106" s="15">
        <f t="shared" si="27"/>
        <v>10.335074626865673</v>
      </c>
      <c r="AC106" s="17">
        <f t="shared" si="24"/>
        <v>0.59913476097772012</v>
      </c>
      <c r="AD106" s="23" t="s">
        <v>492</v>
      </c>
      <c r="AE106" s="8" t="s">
        <v>91</v>
      </c>
      <c r="AF106" s="14" t="s">
        <v>266</v>
      </c>
      <c r="AH106" s="14" t="s">
        <v>493</v>
      </c>
    </row>
    <row r="107" spans="1:34" s="14" customFormat="1" ht="28.8" x14ac:dyDescent="0.3">
      <c r="A107" s="19">
        <v>44007</v>
      </c>
      <c r="B107" s="14" t="s">
        <v>925</v>
      </c>
      <c r="C107" s="14" t="s">
        <v>87</v>
      </c>
      <c r="D107" s="14" t="s">
        <v>115</v>
      </c>
      <c r="E107" s="14" t="s">
        <v>89</v>
      </c>
      <c r="F107" s="14" t="s">
        <v>90</v>
      </c>
      <c r="G107" s="14" t="s">
        <v>64</v>
      </c>
      <c r="H107" s="20">
        <v>8188</v>
      </c>
      <c r="I107" s="14" t="s">
        <v>39</v>
      </c>
      <c r="K107" s="21"/>
      <c r="L107" s="19">
        <v>43891</v>
      </c>
      <c r="M107" s="19">
        <v>48638</v>
      </c>
      <c r="N107" s="19"/>
      <c r="O107" s="14">
        <v>156</v>
      </c>
      <c r="P107" s="22">
        <v>14</v>
      </c>
      <c r="Q107" s="10">
        <v>13.37</v>
      </c>
      <c r="R107" s="10">
        <f t="shared" si="23"/>
        <v>27.369999999999997</v>
      </c>
      <c r="S107" s="15">
        <v>0.5</v>
      </c>
      <c r="T107" s="12">
        <v>60</v>
      </c>
      <c r="U107" s="10">
        <f t="shared" si="17"/>
        <v>4.615384615384615</v>
      </c>
      <c r="V107" s="26">
        <v>12</v>
      </c>
      <c r="W107" s="14" t="s">
        <v>40</v>
      </c>
      <c r="X107" s="15">
        <f t="shared" si="25"/>
        <v>27.369999999999997</v>
      </c>
      <c r="Y107" s="16">
        <f t="shared" si="19"/>
        <v>0.92307692307692313</v>
      </c>
      <c r="Z107" s="15">
        <f t="shared" si="26"/>
        <v>2.1053846153846152</v>
      </c>
      <c r="AA107" s="12">
        <f>T107+X107</f>
        <v>87.37</v>
      </c>
      <c r="AB107" s="15">
        <f t="shared" si="27"/>
        <v>6.7207692307692311</v>
      </c>
      <c r="AC107" s="17">
        <f t="shared" si="24"/>
        <v>0.48005494505494506</v>
      </c>
      <c r="AD107" s="23" t="s">
        <v>317</v>
      </c>
      <c r="AH107" s="14" t="s">
        <v>817</v>
      </c>
    </row>
    <row r="108" spans="1:34" s="14" customFormat="1" ht="57.6" x14ac:dyDescent="0.3">
      <c r="A108" s="19">
        <v>44790</v>
      </c>
      <c r="B108" s="14" t="s">
        <v>597</v>
      </c>
      <c r="C108" s="14" t="s">
        <v>232</v>
      </c>
      <c r="D108" s="14" t="s">
        <v>499</v>
      </c>
      <c r="E108" s="14" t="s">
        <v>194</v>
      </c>
      <c r="F108" s="14" t="s">
        <v>63</v>
      </c>
      <c r="G108" s="14" t="s">
        <v>547</v>
      </c>
      <c r="H108" s="20">
        <v>6140</v>
      </c>
      <c r="I108" s="14" t="s">
        <v>39</v>
      </c>
      <c r="K108" s="21"/>
      <c r="L108" s="19">
        <v>45017</v>
      </c>
      <c r="M108" s="19">
        <v>47817</v>
      </c>
      <c r="N108" s="19"/>
      <c r="O108" s="14">
        <v>92</v>
      </c>
      <c r="P108" s="22">
        <v>22.75</v>
      </c>
      <c r="Q108" s="10">
        <v>15.6</v>
      </c>
      <c r="R108" s="10">
        <f t="shared" si="23"/>
        <v>38.35</v>
      </c>
      <c r="S108" s="15">
        <v>0.5</v>
      </c>
      <c r="T108" s="12">
        <v>10</v>
      </c>
      <c r="U108" s="10">
        <f t="shared" si="17"/>
        <v>1.3043478260869565</v>
      </c>
      <c r="V108" s="26">
        <v>8</v>
      </c>
      <c r="W108" s="14" t="s">
        <v>40</v>
      </c>
      <c r="X108" s="15">
        <f t="shared" si="25"/>
        <v>25.566666666666666</v>
      </c>
      <c r="Y108" s="16">
        <f t="shared" si="19"/>
        <v>1.0434782608695652</v>
      </c>
      <c r="Z108" s="15">
        <f t="shared" si="26"/>
        <v>3.3347826086956518</v>
      </c>
      <c r="AA108" s="12">
        <f>X108+T108</f>
        <v>35.566666666666663</v>
      </c>
      <c r="AB108" s="15">
        <f t="shared" si="27"/>
        <v>4.6391304347826079</v>
      </c>
      <c r="AC108" s="17">
        <f t="shared" si="24"/>
        <v>0.20391782130912561</v>
      </c>
      <c r="AD108" s="23" t="s">
        <v>234</v>
      </c>
      <c r="AE108" s="8" t="s">
        <v>91</v>
      </c>
      <c r="AF108" s="14" t="s">
        <v>598</v>
      </c>
      <c r="AG108" s="14" t="s">
        <v>599</v>
      </c>
      <c r="AH108" s="14" t="s">
        <v>58</v>
      </c>
    </row>
    <row r="109" spans="1:34" s="14" customFormat="1" ht="28.8" x14ac:dyDescent="0.3">
      <c r="A109" s="19">
        <v>44823</v>
      </c>
      <c r="B109" s="14" t="s">
        <v>575</v>
      </c>
      <c r="C109" s="14" t="s">
        <v>576</v>
      </c>
      <c r="D109" s="14" t="s">
        <v>577</v>
      </c>
      <c r="E109" s="14" t="s">
        <v>144</v>
      </c>
      <c r="F109" s="14" t="s">
        <v>37</v>
      </c>
      <c r="G109" s="14" t="s">
        <v>64</v>
      </c>
      <c r="H109" s="20">
        <v>5904</v>
      </c>
      <c r="I109" s="14" t="s">
        <v>39</v>
      </c>
      <c r="K109" s="21"/>
      <c r="L109" s="19">
        <v>44958</v>
      </c>
      <c r="M109" s="19">
        <v>46996</v>
      </c>
      <c r="N109" s="19"/>
      <c r="O109" s="14">
        <v>67</v>
      </c>
      <c r="P109" s="22">
        <v>15</v>
      </c>
      <c r="Q109" s="10">
        <v>15.9</v>
      </c>
      <c r="R109" s="10">
        <f t="shared" si="23"/>
        <v>30.9</v>
      </c>
      <c r="S109" s="15">
        <v>0.5</v>
      </c>
      <c r="T109" s="12">
        <v>25</v>
      </c>
      <c r="U109" s="10">
        <f t="shared" si="17"/>
        <v>4.477611940298508</v>
      </c>
      <c r="V109" s="26">
        <v>7</v>
      </c>
      <c r="W109" s="14" t="s">
        <v>40</v>
      </c>
      <c r="X109" s="15">
        <f t="shared" si="25"/>
        <v>18.024999999999999</v>
      </c>
      <c r="Y109" s="16">
        <f t="shared" si="19"/>
        <v>1.2537313432835822</v>
      </c>
      <c r="Z109" s="15">
        <f t="shared" si="26"/>
        <v>3.2283582089552239</v>
      </c>
      <c r="AA109" s="12">
        <f>X109+T109</f>
        <v>43.024999999999999</v>
      </c>
      <c r="AB109" s="15">
        <f t="shared" si="27"/>
        <v>7.7059701492537318</v>
      </c>
      <c r="AC109" s="17">
        <f t="shared" si="24"/>
        <v>0.51373134328358216</v>
      </c>
      <c r="AD109" s="23" t="s">
        <v>224</v>
      </c>
      <c r="AE109" s="14" t="s">
        <v>578</v>
      </c>
      <c r="AH109" s="14" t="s">
        <v>579</v>
      </c>
    </row>
    <row r="110" spans="1:34" s="14" customFormat="1" ht="100.8" x14ac:dyDescent="0.3">
      <c r="A110" s="19">
        <v>44669</v>
      </c>
      <c r="B110" s="14" t="s">
        <v>634</v>
      </c>
      <c r="C110" s="14" t="s">
        <v>451</v>
      </c>
      <c r="D110" s="14" t="s">
        <v>452</v>
      </c>
      <c r="E110" s="14" t="s">
        <v>336</v>
      </c>
      <c r="F110" s="14" t="s">
        <v>63</v>
      </c>
      <c r="G110" s="14" t="s">
        <v>64</v>
      </c>
      <c r="H110" s="20">
        <v>3634</v>
      </c>
      <c r="I110" s="14" t="s">
        <v>39</v>
      </c>
      <c r="K110" s="21"/>
      <c r="L110" s="19">
        <v>44682</v>
      </c>
      <c r="M110" s="19">
        <v>47238</v>
      </c>
      <c r="N110" s="19"/>
      <c r="O110" s="14">
        <v>84</v>
      </c>
      <c r="P110" s="22">
        <v>14</v>
      </c>
      <c r="Q110" s="10">
        <v>10</v>
      </c>
      <c r="R110" s="10">
        <f t="shared" si="23"/>
        <v>24</v>
      </c>
      <c r="S110" s="15">
        <v>0.5</v>
      </c>
      <c r="T110" s="12">
        <v>55</v>
      </c>
      <c r="U110" s="10">
        <f t="shared" si="17"/>
        <v>7.8571428571428568</v>
      </c>
      <c r="V110" s="26">
        <v>6</v>
      </c>
      <c r="W110" s="14" t="s">
        <v>40</v>
      </c>
      <c r="X110" s="15">
        <f t="shared" si="25"/>
        <v>12</v>
      </c>
      <c r="Y110" s="16">
        <f t="shared" si="19"/>
        <v>0.8571428571428571</v>
      </c>
      <c r="Z110" s="15">
        <f t="shared" si="26"/>
        <v>1.7142857142857142</v>
      </c>
      <c r="AA110" s="12">
        <f>T110+X110</f>
        <v>67</v>
      </c>
      <c r="AB110" s="15">
        <f t="shared" si="27"/>
        <v>9.5714285714285712</v>
      </c>
      <c r="AC110" s="17">
        <f t="shared" si="24"/>
        <v>0.68367346938775508</v>
      </c>
      <c r="AD110" s="23" t="s">
        <v>453</v>
      </c>
      <c r="AE110" s="8" t="s">
        <v>91</v>
      </c>
      <c r="AF110" s="14" t="s">
        <v>598</v>
      </c>
      <c r="AG110" s="14" t="s">
        <v>635</v>
      </c>
      <c r="AH110" s="14" t="s">
        <v>58</v>
      </c>
    </row>
    <row r="111" spans="1:34" s="14" customFormat="1" ht="28.8" x14ac:dyDescent="0.3">
      <c r="A111" s="19">
        <v>43951</v>
      </c>
      <c r="B111" s="14" t="s">
        <v>1061</v>
      </c>
      <c r="C111" s="14" t="s">
        <v>901</v>
      </c>
      <c r="D111" s="14" t="s">
        <v>902</v>
      </c>
      <c r="E111" s="14" t="s">
        <v>194</v>
      </c>
      <c r="F111" s="14" t="s">
        <v>63</v>
      </c>
      <c r="G111" s="14" t="s">
        <v>64</v>
      </c>
      <c r="H111" s="20">
        <v>13897</v>
      </c>
      <c r="I111" s="14" t="s">
        <v>39</v>
      </c>
      <c r="K111" s="21">
        <v>43405</v>
      </c>
      <c r="L111" s="19">
        <v>43586</v>
      </c>
      <c r="M111" s="19">
        <v>47603</v>
      </c>
      <c r="N111" s="19"/>
      <c r="O111" s="14">
        <v>132</v>
      </c>
      <c r="P111" s="22">
        <v>21</v>
      </c>
      <c r="Q111" s="10">
        <v>14.09</v>
      </c>
      <c r="R111" s="10">
        <f t="shared" si="23"/>
        <v>35.090000000000003</v>
      </c>
      <c r="S111" s="11">
        <v>2.5000000000000001E-2</v>
      </c>
      <c r="T111" s="12">
        <v>50</v>
      </c>
      <c r="U111" s="10">
        <f t="shared" si="17"/>
        <v>4.5454545454545459</v>
      </c>
      <c r="V111" s="26">
        <v>18</v>
      </c>
      <c r="W111" s="14" t="s">
        <v>169</v>
      </c>
      <c r="X111" s="15">
        <f t="shared" si="25"/>
        <v>52.635000000000005</v>
      </c>
      <c r="Y111" s="16">
        <f t="shared" si="19"/>
        <v>1.6363636363636365</v>
      </c>
      <c r="Z111" s="15">
        <f t="shared" si="26"/>
        <v>4.7850000000000001</v>
      </c>
      <c r="AA111" s="12">
        <f>T111+X111</f>
        <v>102.63500000000001</v>
      </c>
      <c r="AB111" s="15">
        <f t="shared" si="27"/>
        <v>9.3304545454545451</v>
      </c>
      <c r="AC111" s="17">
        <f t="shared" si="24"/>
        <v>0.44430735930735932</v>
      </c>
      <c r="AD111" s="23" t="s">
        <v>1062</v>
      </c>
      <c r="AE111" s="8" t="s">
        <v>91</v>
      </c>
      <c r="AF111" s="14" t="s">
        <v>995</v>
      </c>
      <c r="AG111" s="14" t="s">
        <v>1063</v>
      </c>
      <c r="AH111" s="14" t="s">
        <v>466</v>
      </c>
    </row>
    <row r="112" spans="1:34" s="14" customFormat="1" ht="28.8" x14ac:dyDescent="0.3">
      <c r="A112" s="19">
        <v>45784</v>
      </c>
      <c r="B112" s="14" t="s">
        <v>875</v>
      </c>
      <c r="C112" s="14" t="s">
        <v>182</v>
      </c>
      <c r="D112" s="14" t="s">
        <v>1343</v>
      </c>
      <c r="E112" s="14" t="s">
        <v>184</v>
      </c>
      <c r="F112" s="14" t="s">
        <v>37</v>
      </c>
      <c r="G112" s="14" t="s">
        <v>64</v>
      </c>
      <c r="H112" s="27">
        <v>7434</v>
      </c>
      <c r="I112" s="14" t="s">
        <v>126</v>
      </c>
      <c r="K112" s="21">
        <v>45778</v>
      </c>
      <c r="L112" s="19">
        <v>45992</v>
      </c>
      <c r="M112" s="19">
        <v>49918</v>
      </c>
      <c r="N112" s="19"/>
      <c r="O112" s="14">
        <v>129</v>
      </c>
      <c r="P112" s="41">
        <v>13.5</v>
      </c>
      <c r="Q112" s="42">
        <v>11.49</v>
      </c>
      <c r="R112" s="10">
        <f t="shared" si="23"/>
        <v>24.990000000000002</v>
      </c>
      <c r="S112" s="65">
        <v>0.03</v>
      </c>
      <c r="T112" s="12">
        <v>63</v>
      </c>
      <c r="U112" s="10">
        <f t="shared" si="17"/>
        <v>5.8604651162790695</v>
      </c>
      <c r="V112" s="13">
        <v>9</v>
      </c>
      <c r="W112" s="52" t="s">
        <v>40</v>
      </c>
      <c r="X112" s="15">
        <f t="shared" si="25"/>
        <v>18.7425</v>
      </c>
      <c r="Y112" s="16">
        <f t="shared" si="19"/>
        <v>0.83720930232558144</v>
      </c>
      <c r="Z112" s="15">
        <f t="shared" si="26"/>
        <v>1.7434883720930232</v>
      </c>
      <c r="AA112" s="12">
        <f>X112+T112</f>
        <v>81.742500000000007</v>
      </c>
      <c r="AB112" s="15">
        <f t="shared" si="27"/>
        <v>7.6039534883720936</v>
      </c>
      <c r="AC112" s="17">
        <f t="shared" si="24"/>
        <v>0.56325581395348845</v>
      </c>
      <c r="AD112" s="23" t="s">
        <v>185</v>
      </c>
      <c r="AE112" s="14" t="s">
        <v>42</v>
      </c>
      <c r="AF112" s="14" t="s">
        <v>56</v>
      </c>
      <c r="AH112" s="14" t="s">
        <v>1345</v>
      </c>
    </row>
    <row r="113" spans="1:34" s="14" customFormat="1" ht="57.6" x14ac:dyDescent="0.3">
      <c r="A113" s="19">
        <v>45054</v>
      </c>
      <c r="B113" s="14" t="s">
        <v>355</v>
      </c>
      <c r="C113" s="14" t="s">
        <v>527</v>
      </c>
      <c r="D113" s="14" t="s">
        <v>356</v>
      </c>
      <c r="E113" s="14" t="s">
        <v>357</v>
      </c>
      <c r="F113" s="14" t="s">
        <v>37</v>
      </c>
      <c r="G113" s="14" t="s">
        <v>38</v>
      </c>
      <c r="H113" s="20">
        <v>6836</v>
      </c>
      <c r="I113" s="14" t="s">
        <v>39</v>
      </c>
      <c r="K113" s="21">
        <v>45047</v>
      </c>
      <c r="L113" s="19">
        <v>45200</v>
      </c>
      <c r="M113" s="19">
        <v>47208</v>
      </c>
      <c r="N113" s="19"/>
      <c r="O113" s="14">
        <v>66</v>
      </c>
      <c r="P113" s="22">
        <v>13.5</v>
      </c>
      <c r="Q113" s="10">
        <v>8.34</v>
      </c>
      <c r="R113" s="10">
        <f t="shared" ref="R113:R144" si="28">P113+Q113</f>
        <v>21.84</v>
      </c>
      <c r="S113" s="15">
        <v>0.5</v>
      </c>
      <c r="T113" s="12">
        <v>82</v>
      </c>
      <c r="U113" s="10">
        <f t="shared" si="17"/>
        <v>14.909090909090908</v>
      </c>
      <c r="V113" s="26">
        <v>8</v>
      </c>
      <c r="W113" s="14" t="s">
        <v>40</v>
      </c>
      <c r="X113" s="15">
        <f t="shared" si="25"/>
        <v>14.559999999999999</v>
      </c>
      <c r="Y113" s="16">
        <f t="shared" si="19"/>
        <v>1.4545454545454546</v>
      </c>
      <c r="Z113" s="15">
        <f t="shared" si="26"/>
        <v>2.647272727272727</v>
      </c>
      <c r="AA113" s="12">
        <f>T113+X113</f>
        <v>96.56</v>
      </c>
      <c r="AB113" s="15">
        <f t="shared" si="27"/>
        <v>17.556363636363638</v>
      </c>
      <c r="AC113" s="17">
        <f t="shared" si="24"/>
        <v>1.3004713804713806</v>
      </c>
      <c r="AD113" s="23" t="s">
        <v>358</v>
      </c>
      <c r="AE113" s="14" t="s">
        <v>42</v>
      </c>
      <c r="AF113" s="14" t="s">
        <v>56</v>
      </c>
      <c r="AG113" s="14" t="s">
        <v>359</v>
      </c>
      <c r="AH113" s="14" t="s">
        <v>58</v>
      </c>
    </row>
    <row r="114" spans="1:34" s="14" customFormat="1" x14ac:dyDescent="0.3">
      <c r="A114" s="19">
        <v>44993</v>
      </c>
      <c r="B114" s="14" t="s">
        <v>360</v>
      </c>
      <c r="C114" s="14" t="s">
        <v>361</v>
      </c>
      <c r="D114" s="14" t="s">
        <v>362</v>
      </c>
      <c r="E114" s="14" t="s">
        <v>194</v>
      </c>
      <c r="F114" s="14" t="s">
        <v>63</v>
      </c>
      <c r="G114" s="14" t="s">
        <v>64</v>
      </c>
      <c r="H114" s="20">
        <v>20189</v>
      </c>
      <c r="I114" s="14" t="s">
        <v>39</v>
      </c>
      <c r="K114" s="21"/>
      <c r="L114" s="19">
        <v>45139</v>
      </c>
      <c r="M114" s="19">
        <v>47118</v>
      </c>
      <c r="N114" s="19"/>
      <c r="O114" s="14">
        <v>65</v>
      </c>
      <c r="P114" s="22">
        <v>18</v>
      </c>
      <c r="Q114" s="10">
        <v>17.77</v>
      </c>
      <c r="R114" s="10">
        <f t="shared" si="28"/>
        <v>35.769999999999996</v>
      </c>
      <c r="S114" s="15">
        <v>0.5</v>
      </c>
      <c r="T114" s="12">
        <v>35</v>
      </c>
      <c r="U114" s="10">
        <f t="shared" si="17"/>
        <v>6.4615384615384608</v>
      </c>
      <c r="V114" s="26">
        <v>5</v>
      </c>
      <c r="W114" s="14" t="s">
        <v>40</v>
      </c>
      <c r="X114" s="15">
        <f t="shared" si="25"/>
        <v>14.904166666666665</v>
      </c>
      <c r="Y114" s="16">
        <f t="shared" si="19"/>
        <v>0.92307692307692302</v>
      </c>
      <c r="Z114" s="15">
        <f t="shared" si="26"/>
        <v>2.7515384615384613</v>
      </c>
      <c r="AA114" s="12">
        <f>T114+X114</f>
        <v>49.904166666666669</v>
      </c>
      <c r="AB114" s="15">
        <f t="shared" si="27"/>
        <v>9.2130769230769225</v>
      </c>
      <c r="AC114" s="17">
        <f t="shared" si="24"/>
        <v>0.51183760683760682</v>
      </c>
      <c r="AD114" s="23" t="s">
        <v>363</v>
      </c>
      <c r="AE114" s="14" t="s">
        <v>288</v>
      </c>
      <c r="AF114" s="14" t="s">
        <v>364</v>
      </c>
    </row>
    <row r="115" spans="1:34" s="14" customFormat="1" ht="86.4" x14ac:dyDescent="0.3">
      <c r="A115" s="19">
        <v>44790</v>
      </c>
      <c r="B115" s="14" t="s">
        <v>592</v>
      </c>
      <c r="C115" s="14" t="s">
        <v>593</v>
      </c>
      <c r="D115" s="14" t="s">
        <v>211</v>
      </c>
      <c r="E115" s="14" t="s">
        <v>62</v>
      </c>
      <c r="F115" s="14" t="s">
        <v>63</v>
      </c>
      <c r="G115" s="14" t="s">
        <v>547</v>
      </c>
      <c r="H115" s="20">
        <v>4626</v>
      </c>
      <c r="I115" s="14" t="s">
        <v>39</v>
      </c>
      <c r="K115" s="21"/>
      <c r="L115" s="19">
        <v>44986</v>
      </c>
      <c r="M115" s="19">
        <v>46811</v>
      </c>
      <c r="N115" s="19"/>
      <c r="O115" s="14">
        <v>60</v>
      </c>
      <c r="P115" s="22">
        <v>19.75</v>
      </c>
      <c r="Q115" s="10">
        <v>11.06</v>
      </c>
      <c r="R115" s="10">
        <f t="shared" si="28"/>
        <v>30.810000000000002</v>
      </c>
      <c r="S115" s="15">
        <v>0.5</v>
      </c>
      <c r="T115" s="12">
        <v>45</v>
      </c>
      <c r="U115" s="10">
        <f t="shared" si="17"/>
        <v>9</v>
      </c>
      <c r="V115" s="13">
        <v>0</v>
      </c>
      <c r="X115" s="15">
        <f t="shared" si="25"/>
        <v>0</v>
      </c>
      <c r="Y115" s="16">
        <f t="shared" si="19"/>
        <v>0</v>
      </c>
      <c r="Z115" s="15">
        <f t="shared" si="26"/>
        <v>0</v>
      </c>
      <c r="AA115" s="12">
        <f>X115+T115</f>
        <v>45</v>
      </c>
      <c r="AB115" s="15">
        <f t="shared" si="27"/>
        <v>9</v>
      </c>
      <c r="AC115" s="17">
        <f t="shared" si="24"/>
        <v>0.45569620253164556</v>
      </c>
      <c r="AD115" s="23" t="s">
        <v>213</v>
      </c>
      <c r="AE115" s="8" t="s">
        <v>91</v>
      </c>
      <c r="AF115" s="14" t="s">
        <v>56</v>
      </c>
      <c r="AG115" s="14" t="s">
        <v>594</v>
      </c>
      <c r="AH115" s="14" t="s">
        <v>58</v>
      </c>
    </row>
    <row r="116" spans="1:34" s="14" customFormat="1" ht="28.8" x14ac:dyDescent="0.3">
      <c r="A116" s="19">
        <v>44006</v>
      </c>
      <c r="B116" s="14" t="s">
        <v>926</v>
      </c>
      <c r="C116" s="14" t="s">
        <v>915</v>
      </c>
      <c r="D116" s="14" t="s">
        <v>517</v>
      </c>
      <c r="E116" s="14" t="s">
        <v>89</v>
      </c>
      <c r="F116" s="14" t="s">
        <v>90</v>
      </c>
      <c r="G116" s="14" t="s">
        <v>64</v>
      </c>
      <c r="H116" s="20">
        <v>23000</v>
      </c>
      <c r="I116" s="14" t="s">
        <v>39</v>
      </c>
      <c r="K116" s="21"/>
      <c r="L116" s="19">
        <v>44089</v>
      </c>
      <c r="M116" s="19">
        <v>48105</v>
      </c>
      <c r="N116" s="19"/>
      <c r="O116" s="14">
        <v>132</v>
      </c>
      <c r="P116" s="22">
        <v>8.75</v>
      </c>
      <c r="Q116" s="10">
        <v>11.75</v>
      </c>
      <c r="R116" s="10">
        <f t="shared" si="28"/>
        <v>20.5</v>
      </c>
      <c r="S116" s="15">
        <v>0.5</v>
      </c>
      <c r="T116" s="12">
        <v>45</v>
      </c>
      <c r="U116" s="10">
        <f t="shared" si="17"/>
        <v>4.0909090909090908</v>
      </c>
      <c r="V116" s="26">
        <v>12</v>
      </c>
      <c r="W116" s="14" t="s">
        <v>40</v>
      </c>
      <c r="X116" s="15">
        <f t="shared" si="25"/>
        <v>20.5</v>
      </c>
      <c r="Y116" s="16">
        <f t="shared" si="19"/>
        <v>1.0909090909090908</v>
      </c>
      <c r="Z116" s="15">
        <f t="shared" si="26"/>
        <v>1.8636363636363635</v>
      </c>
      <c r="AA116" s="12">
        <f>T116+X116</f>
        <v>65.5</v>
      </c>
      <c r="AB116" s="15">
        <f t="shared" si="27"/>
        <v>5.9545454545454541</v>
      </c>
      <c r="AC116" s="17">
        <f t="shared" si="24"/>
        <v>0.68051948051948052</v>
      </c>
      <c r="AD116" s="23" t="s">
        <v>916</v>
      </c>
      <c r="AE116" s="14" t="s">
        <v>186</v>
      </c>
      <c r="AG116" s="14" t="s">
        <v>927</v>
      </c>
      <c r="AH116" s="14" t="s">
        <v>614</v>
      </c>
    </row>
    <row r="117" spans="1:34" s="14" customFormat="1" ht="28.8" x14ac:dyDescent="0.3">
      <c r="A117" s="19">
        <v>44799</v>
      </c>
      <c r="B117" s="14" t="s">
        <v>584</v>
      </c>
      <c r="C117" s="14" t="s">
        <v>585</v>
      </c>
      <c r="D117" s="14" t="s">
        <v>586</v>
      </c>
      <c r="E117" s="14" t="s">
        <v>62</v>
      </c>
      <c r="F117" s="14" t="s">
        <v>63</v>
      </c>
      <c r="G117" s="14" t="s">
        <v>64</v>
      </c>
      <c r="H117" s="20">
        <v>6418</v>
      </c>
      <c r="I117" s="14" t="s">
        <v>39</v>
      </c>
      <c r="K117" s="21"/>
      <c r="L117" s="19">
        <v>44835</v>
      </c>
      <c r="M117" s="19">
        <v>46873</v>
      </c>
      <c r="N117" s="19"/>
      <c r="O117" s="14">
        <v>67</v>
      </c>
      <c r="P117" s="22">
        <v>17.5</v>
      </c>
      <c r="Q117" s="10">
        <v>17.59</v>
      </c>
      <c r="R117" s="10">
        <f t="shared" si="28"/>
        <v>35.090000000000003</v>
      </c>
      <c r="S117" s="15">
        <v>0.5</v>
      </c>
      <c r="T117" s="12">
        <v>0</v>
      </c>
      <c r="U117" s="10">
        <f t="shared" si="17"/>
        <v>0</v>
      </c>
      <c r="V117" s="26">
        <v>7</v>
      </c>
      <c r="W117" s="14" t="s">
        <v>40</v>
      </c>
      <c r="X117" s="15">
        <f t="shared" si="25"/>
        <v>20.46916666666667</v>
      </c>
      <c r="Y117" s="16">
        <f t="shared" si="19"/>
        <v>1.2537313432835822</v>
      </c>
      <c r="Z117" s="15">
        <f t="shared" si="26"/>
        <v>3.6661194029850752</v>
      </c>
      <c r="AA117" s="12">
        <f>X117+T117</f>
        <v>20.46916666666667</v>
      </c>
      <c r="AB117" s="15">
        <f t="shared" si="27"/>
        <v>3.6661194029850752</v>
      </c>
      <c r="AC117" s="17">
        <f t="shared" si="24"/>
        <v>0.20949253731343287</v>
      </c>
      <c r="AD117" s="23" t="s">
        <v>363</v>
      </c>
      <c r="AE117" s="14" t="s">
        <v>42</v>
      </c>
      <c r="AF117" s="14" t="s">
        <v>587</v>
      </c>
      <c r="AG117" s="14" t="s">
        <v>44</v>
      </c>
      <c r="AH117" s="14" t="s">
        <v>588</v>
      </c>
    </row>
    <row r="118" spans="1:34" s="14" customFormat="1" ht="57.6" x14ac:dyDescent="0.3">
      <c r="A118" s="19">
        <v>45126</v>
      </c>
      <c r="B118" s="14" t="s">
        <v>340</v>
      </c>
      <c r="C118" s="14" t="s">
        <v>341</v>
      </c>
      <c r="D118" s="14" t="s">
        <v>342</v>
      </c>
      <c r="E118" s="14" t="s">
        <v>343</v>
      </c>
      <c r="F118" s="14" t="s">
        <v>37</v>
      </c>
      <c r="G118" s="14" t="s">
        <v>64</v>
      </c>
      <c r="H118" s="20">
        <v>8019</v>
      </c>
      <c r="I118" s="14" t="s">
        <v>39</v>
      </c>
      <c r="K118" s="21"/>
      <c r="L118" s="19">
        <v>45292</v>
      </c>
      <c r="M118" s="19">
        <v>49248</v>
      </c>
      <c r="N118" s="19">
        <v>48152</v>
      </c>
      <c r="O118" s="14">
        <v>130</v>
      </c>
      <c r="P118" s="22">
        <v>17.5</v>
      </c>
      <c r="Q118" s="10">
        <v>18.940000000000001</v>
      </c>
      <c r="R118" s="10">
        <f t="shared" si="28"/>
        <v>36.44</v>
      </c>
      <c r="S118" s="11">
        <v>2.5000000000000001E-2</v>
      </c>
      <c r="T118" s="12">
        <v>85</v>
      </c>
      <c r="U118" s="10">
        <f t="shared" si="17"/>
        <v>7.8461538461538458</v>
      </c>
      <c r="V118" s="26">
        <v>10</v>
      </c>
      <c r="W118" s="14" t="s">
        <v>40</v>
      </c>
      <c r="X118" s="15">
        <f t="shared" si="25"/>
        <v>30.366666666666667</v>
      </c>
      <c r="Y118" s="16">
        <f t="shared" si="19"/>
        <v>0.92307692307692302</v>
      </c>
      <c r="Z118" s="15">
        <f t="shared" si="26"/>
        <v>2.8030769230769228</v>
      </c>
      <c r="AA118" s="12">
        <f>T118+X118</f>
        <v>115.36666666666667</v>
      </c>
      <c r="AB118" s="15">
        <f t="shared" si="27"/>
        <v>10.649230769230769</v>
      </c>
      <c r="AC118" s="17">
        <f t="shared" si="24"/>
        <v>0.60852747252747252</v>
      </c>
      <c r="AD118" s="23" t="s">
        <v>344</v>
      </c>
      <c r="AE118" s="14" t="s">
        <v>42</v>
      </c>
      <c r="AF118" s="14" t="s">
        <v>258</v>
      </c>
      <c r="AG118" s="14" t="s">
        <v>345</v>
      </c>
      <c r="AH118" s="14" t="s">
        <v>260</v>
      </c>
    </row>
    <row r="119" spans="1:34" s="14" customFormat="1" ht="57.6" x14ac:dyDescent="0.3">
      <c r="A119" s="19">
        <v>44657</v>
      </c>
      <c r="B119" s="14" t="s">
        <v>643</v>
      </c>
      <c r="C119" s="14" t="s">
        <v>644</v>
      </c>
      <c r="D119" s="14" t="s">
        <v>211</v>
      </c>
      <c r="E119" s="14" t="s">
        <v>62</v>
      </c>
      <c r="F119" s="14" t="s">
        <v>63</v>
      </c>
      <c r="G119" s="14" t="s">
        <v>64</v>
      </c>
      <c r="H119" s="20">
        <v>17887</v>
      </c>
      <c r="I119" s="14" t="s">
        <v>39</v>
      </c>
      <c r="K119" s="21"/>
      <c r="L119" s="19">
        <v>44470</v>
      </c>
      <c r="M119" s="19">
        <v>47391</v>
      </c>
      <c r="N119" s="19"/>
      <c r="O119" s="14">
        <v>96</v>
      </c>
      <c r="P119" s="22">
        <v>19</v>
      </c>
      <c r="Q119" s="10">
        <v>10.94</v>
      </c>
      <c r="R119" s="10">
        <f t="shared" si="28"/>
        <v>29.939999999999998</v>
      </c>
      <c r="S119" s="15">
        <v>0.5</v>
      </c>
      <c r="T119" s="12">
        <v>75</v>
      </c>
      <c r="U119" s="10">
        <f t="shared" si="17"/>
        <v>9.375</v>
      </c>
      <c r="V119" s="26">
        <v>8</v>
      </c>
      <c r="W119" s="14" t="s">
        <v>40</v>
      </c>
      <c r="X119" s="15">
        <f t="shared" si="25"/>
        <v>19.959999999999997</v>
      </c>
      <c r="Y119" s="16">
        <f t="shared" si="19"/>
        <v>1</v>
      </c>
      <c r="Z119" s="15">
        <f t="shared" si="26"/>
        <v>2.4949999999999997</v>
      </c>
      <c r="AA119" s="12">
        <f>T119+X119</f>
        <v>94.96</v>
      </c>
      <c r="AB119" s="15">
        <f t="shared" si="27"/>
        <v>11.87</v>
      </c>
      <c r="AC119" s="17">
        <f t="shared" si="24"/>
        <v>0.62473684210526315</v>
      </c>
      <c r="AD119" s="23" t="s">
        <v>213</v>
      </c>
      <c r="AE119" s="8" t="s">
        <v>91</v>
      </c>
      <c r="AF119" s="14" t="s">
        <v>225</v>
      </c>
      <c r="AG119" s="14" t="s">
        <v>645</v>
      </c>
      <c r="AH119" s="14" t="s">
        <v>646</v>
      </c>
    </row>
    <row r="120" spans="1:34" s="14" customFormat="1" x14ac:dyDescent="0.3">
      <c r="A120" s="19">
        <v>44840</v>
      </c>
      <c r="B120" s="14" t="s">
        <v>541</v>
      </c>
      <c r="C120" s="14" t="s">
        <v>542</v>
      </c>
      <c r="D120" s="14" t="s">
        <v>543</v>
      </c>
      <c r="E120" s="14" t="s">
        <v>120</v>
      </c>
      <c r="F120" s="14" t="s">
        <v>90</v>
      </c>
      <c r="G120" s="14" t="s">
        <v>55</v>
      </c>
      <c r="H120" s="20">
        <v>32174</v>
      </c>
      <c r="I120" s="14" t="s">
        <v>39</v>
      </c>
      <c r="K120" s="21"/>
      <c r="L120" s="19">
        <v>44958</v>
      </c>
      <c r="M120" s="19">
        <v>47330</v>
      </c>
      <c r="N120" s="19"/>
      <c r="O120" s="14">
        <v>78</v>
      </c>
      <c r="P120" s="22">
        <v>14</v>
      </c>
      <c r="Q120" s="10"/>
      <c r="R120" s="10">
        <f t="shared" si="28"/>
        <v>14</v>
      </c>
      <c r="S120" s="15">
        <v>0.5</v>
      </c>
      <c r="T120" s="12">
        <v>50</v>
      </c>
      <c r="U120" s="10">
        <f t="shared" si="17"/>
        <v>7.6923076923076925</v>
      </c>
      <c r="V120" s="26">
        <v>6</v>
      </c>
      <c r="W120" s="14" t="s">
        <v>40</v>
      </c>
      <c r="X120" s="15">
        <f t="shared" si="25"/>
        <v>7</v>
      </c>
      <c r="Y120" s="16">
        <f t="shared" si="19"/>
        <v>0.92307692307692313</v>
      </c>
      <c r="Z120" s="15">
        <f t="shared" si="26"/>
        <v>1.0769230769230769</v>
      </c>
      <c r="AA120" s="12">
        <f>X120+T120</f>
        <v>57</v>
      </c>
      <c r="AB120" s="15">
        <f t="shared" si="27"/>
        <v>8.7692307692307701</v>
      </c>
      <c r="AC120" s="17">
        <f t="shared" si="24"/>
        <v>0.62637362637362648</v>
      </c>
      <c r="AD120" s="23" t="s">
        <v>544</v>
      </c>
      <c r="AE120" s="14" t="s">
        <v>98</v>
      </c>
      <c r="AF120" s="14" t="s">
        <v>545</v>
      </c>
    </row>
    <row r="121" spans="1:34" s="14" customFormat="1" ht="72" x14ac:dyDescent="0.3">
      <c r="A121" s="19">
        <v>44929</v>
      </c>
      <c r="B121" s="14" t="s">
        <v>503</v>
      </c>
      <c r="C121" s="14" t="s">
        <v>504</v>
      </c>
      <c r="D121" s="14" t="s">
        <v>505</v>
      </c>
      <c r="E121" s="14" t="s">
        <v>97</v>
      </c>
      <c r="F121" s="14" t="s">
        <v>97</v>
      </c>
      <c r="G121" s="14" t="s">
        <v>64</v>
      </c>
      <c r="H121" s="20">
        <v>26576</v>
      </c>
      <c r="I121" s="14" t="s">
        <v>74</v>
      </c>
      <c r="K121" s="21"/>
      <c r="L121" s="19">
        <v>46082</v>
      </c>
      <c r="M121" s="19">
        <v>49368</v>
      </c>
      <c r="N121" s="19"/>
      <c r="O121" s="14">
        <v>108</v>
      </c>
      <c r="P121" s="22">
        <v>19</v>
      </c>
      <c r="Q121" s="10"/>
      <c r="R121" s="10">
        <f t="shared" si="28"/>
        <v>19</v>
      </c>
      <c r="S121" s="15">
        <v>0.5</v>
      </c>
      <c r="T121" s="12">
        <v>80</v>
      </c>
      <c r="U121" s="10">
        <f t="shared" si="17"/>
        <v>8.8888888888888893</v>
      </c>
      <c r="V121" s="26">
        <v>13</v>
      </c>
      <c r="W121" s="14" t="s">
        <v>40</v>
      </c>
      <c r="X121" s="15">
        <f t="shared" si="25"/>
        <v>20.583333333333332</v>
      </c>
      <c r="Y121" s="16">
        <f t="shared" si="19"/>
        <v>1.4444444444444444</v>
      </c>
      <c r="Z121" s="15">
        <f t="shared" si="26"/>
        <v>2.2870370370370368</v>
      </c>
      <c r="AA121" s="12">
        <f>X121+T121</f>
        <v>100.58333333333333</v>
      </c>
      <c r="AB121" s="15">
        <f t="shared" si="27"/>
        <v>11.175925925925926</v>
      </c>
      <c r="AC121" s="17">
        <f t="shared" si="24"/>
        <v>0.58820662768031184</v>
      </c>
      <c r="AD121" s="23" t="s">
        <v>178</v>
      </c>
      <c r="AE121" s="8" t="s">
        <v>91</v>
      </c>
      <c r="AF121" s="14" t="s">
        <v>204</v>
      </c>
      <c r="AG121" s="14" t="s">
        <v>506</v>
      </c>
      <c r="AH121" s="14" t="s">
        <v>507</v>
      </c>
    </row>
    <row r="122" spans="1:34" s="14" customFormat="1" ht="28.8" x14ac:dyDescent="0.3">
      <c r="A122" s="19">
        <v>45281</v>
      </c>
      <c r="B122" s="14" t="s">
        <v>276</v>
      </c>
      <c r="C122" s="14" t="s">
        <v>271</v>
      </c>
      <c r="D122" s="14" t="s">
        <v>277</v>
      </c>
      <c r="E122" s="14" t="s">
        <v>62</v>
      </c>
      <c r="F122" s="14" t="s">
        <v>63</v>
      </c>
      <c r="G122" s="14" t="s">
        <v>64</v>
      </c>
      <c r="H122" s="27">
        <v>29544</v>
      </c>
      <c r="I122" s="19" t="s">
        <v>74</v>
      </c>
      <c r="J122" s="19"/>
      <c r="K122" s="21"/>
      <c r="L122" s="19">
        <v>45078</v>
      </c>
      <c r="M122" s="19">
        <v>47452</v>
      </c>
      <c r="N122" s="19"/>
      <c r="O122" s="14">
        <f>66</f>
        <v>66</v>
      </c>
      <c r="P122" s="12">
        <v>19</v>
      </c>
      <c r="Q122" s="15">
        <v>17.72</v>
      </c>
      <c r="R122" s="10">
        <f t="shared" si="28"/>
        <v>36.72</v>
      </c>
      <c r="S122" s="15">
        <v>0.5</v>
      </c>
      <c r="T122" s="12">
        <v>25</v>
      </c>
      <c r="U122" s="10">
        <f t="shared" si="17"/>
        <v>4.5454545454545459</v>
      </c>
      <c r="V122" s="26">
        <f>(P122/R122)*6</f>
        <v>3.1045751633986929</v>
      </c>
      <c r="W122" s="52" t="s">
        <v>40</v>
      </c>
      <c r="X122" s="15">
        <f t="shared" si="25"/>
        <v>9.5</v>
      </c>
      <c r="Y122" s="16">
        <f t="shared" si="19"/>
        <v>0.56446821152703508</v>
      </c>
      <c r="Z122" s="15">
        <f t="shared" si="26"/>
        <v>1.7272727272727273</v>
      </c>
      <c r="AA122" s="12">
        <f>X122+T122</f>
        <v>34.5</v>
      </c>
      <c r="AB122" s="15">
        <f t="shared" si="27"/>
        <v>6.2727272727272725</v>
      </c>
      <c r="AC122" s="17">
        <f t="shared" si="24"/>
        <v>0.33014354066985646</v>
      </c>
      <c r="AD122" s="23"/>
      <c r="AE122" s="8" t="s">
        <v>91</v>
      </c>
      <c r="AF122" s="14" t="s">
        <v>269</v>
      </c>
      <c r="AH122" s="14" t="s">
        <v>278</v>
      </c>
    </row>
    <row r="123" spans="1:34" s="14" customFormat="1" ht="28.8" x14ac:dyDescent="0.3">
      <c r="A123" s="19">
        <v>44848</v>
      </c>
      <c r="B123" s="14" t="s">
        <v>536</v>
      </c>
      <c r="C123" s="14" t="s">
        <v>87</v>
      </c>
      <c r="D123" s="14" t="s">
        <v>115</v>
      </c>
      <c r="E123" s="14" t="s">
        <v>89</v>
      </c>
      <c r="F123" s="14" t="s">
        <v>90</v>
      </c>
      <c r="G123" s="14" t="s">
        <v>64</v>
      </c>
      <c r="H123" s="20">
        <v>11163</v>
      </c>
      <c r="I123" s="14" t="s">
        <v>414</v>
      </c>
      <c r="K123" s="21"/>
      <c r="L123" s="19">
        <v>44713</v>
      </c>
      <c r="M123" s="19">
        <v>47483</v>
      </c>
      <c r="N123" s="19"/>
      <c r="O123" s="14">
        <v>91</v>
      </c>
      <c r="P123" s="22">
        <v>14.5</v>
      </c>
      <c r="Q123" s="10">
        <v>14.01</v>
      </c>
      <c r="R123" s="10">
        <f t="shared" si="28"/>
        <v>28.509999999999998</v>
      </c>
      <c r="S123" s="15">
        <v>0.5</v>
      </c>
      <c r="T123" s="12">
        <v>35</v>
      </c>
      <c r="U123" s="10">
        <f t="shared" si="17"/>
        <v>4.6153846153846159</v>
      </c>
      <c r="V123" s="26">
        <v>7</v>
      </c>
      <c r="W123" s="14" t="s">
        <v>40</v>
      </c>
      <c r="X123" s="15">
        <f t="shared" si="25"/>
        <v>16.630833333333332</v>
      </c>
      <c r="Y123" s="16">
        <f t="shared" si="19"/>
        <v>0.92307692307692313</v>
      </c>
      <c r="Z123" s="15">
        <f t="shared" si="26"/>
        <v>2.1930769230769229</v>
      </c>
      <c r="AA123" s="12">
        <f>X123+T123</f>
        <v>51.630833333333328</v>
      </c>
      <c r="AB123" s="15">
        <f t="shared" si="27"/>
        <v>6.8084615384615379</v>
      </c>
      <c r="AC123" s="17">
        <f t="shared" si="24"/>
        <v>0.46954907161803711</v>
      </c>
      <c r="AD123" s="23" t="s">
        <v>464</v>
      </c>
      <c r="AE123" s="14" t="s">
        <v>42</v>
      </c>
    </row>
    <row r="124" spans="1:34" s="14" customFormat="1" x14ac:dyDescent="0.3">
      <c r="A124" s="19">
        <v>44697</v>
      </c>
      <c r="B124" s="14" t="s">
        <v>625</v>
      </c>
      <c r="C124" s="14" t="s">
        <v>133</v>
      </c>
      <c r="D124" s="14" t="s">
        <v>134</v>
      </c>
      <c r="E124" s="14" t="s">
        <v>135</v>
      </c>
      <c r="F124" s="14" t="s">
        <v>90</v>
      </c>
      <c r="G124" s="14" t="s">
        <v>64</v>
      </c>
      <c r="H124" s="20">
        <v>39524</v>
      </c>
      <c r="I124" s="14" t="s">
        <v>39</v>
      </c>
      <c r="K124" s="21"/>
      <c r="L124" s="19">
        <v>44774</v>
      </c>
      <c r="M124" s="19">
        <v>48730</v>
      </c>
      <c r="N124" s="19"/>
      <c r="O124" s="14">
        <v>142</v>
      </c>
      <c r="P124" s="22">
        <v>15.4</v>
      </c>
      <c r="Q124" s="10">
        <v>9.6</v>
      </c>
      <c r="R124" s="10">
        <f t="shared" si="28"/>
        <v>25</v>
      </c>
      <c r="S124" s="15">
        <v>0.6</v>
      </c>
      <c r="T124" s="12">
        <v>100</v>
      </c>
      <c r="U124" s="10">
        <f t="shared" si="17"/>
        <v>8.4507042253521121</v>
      </c>
      <c r="V124" s="13">
        <v>0</v>
      </c>
      <c r="X124" s="15">
        <f t="shared" si="25"/>
        <v>0</v>
      </c>
      <c r="Y124" s="16">
        <f t="shared" si="19"/>
        <v>0</v>
      </c>
      <c r="Z124" s="15">
        <f t="shared" si="26"/>
        <v>0</v>
      </c>
      <c r="AA124" s="12">
        <f>T124+X124</f>
        <v>100</v>
      </c>
      <c r="AB124" s="15">
        <f t="shared" si="27"/>
        <v>8.4507042253521121</v>
      </c>
      <c r="AC124" s="17">
        <f t="shared" si="24"/>
        <v>0.54874702762026706</v>
      </c>
      <c r="AD124" s="23" t="s">
        <v>435</v>
      </c>
      <c r="AE124" s="14" t="s">
        <v>136</v>
      </c>
      <c r="AF124" s="14" t="s">
        <v>626</v>
      </c>
      <c r="AG124" s="14" t="s">
        <v>187</v>
      </c>
      <c r="AH124" s="14" t="s">
        <v>265</v>
      </c>
    </row>
    <row r="125" spans="1:34" s="14" customFormat="1" ht="86.4" x14ac:dyDescent="0.3">
      <c r="A125" s="19">
        <v>44930</v>
      </c>
      <c r="B125" s="14" t="s">
        <v>483</v>
      </c>
      <c r="C125" s="14" t="s">
        <v>128</v>
      </c>
      <c r="D125" s="14" t="s">
        <v>484</v>
      </c>
      <c r="E125" s="14" t="s">
        <v>103</v>
      </c>
      <c r="F125" s="14" t="s">
        <v>37</v>
      </c>
      <c r="G125" s="14" t="s">
        <v>64</v>
      </c>
      <c r="H125" s="20">
        <v>6296</v>
      </c>
      <c r="I125" s="14" t="s">
        <v>414</v>
      </c>
      <c r="K125" s="21"/>
      <c r="L125" s="19">
        <v>44986</v>
      </c>
      <c r="M125" s="19">
        <v>49278</v>
      </c>
      <c r="N125" s="19"/>
      <c r="O125" s="14">
        <v>141</v>
      </c>
      <c r="P125" s="22">
        <v>23</v>
      </c>
      <c r="Q125" s="10">
        <v>12.6</v>
      </c>
      <c r="R125" s="10">
        <f t="shared" si="28"/>
        <v>35.6</v>
      </c>
      <c r="S125" s="11">
        <v>0.03</v>
      </c>
      <c r="T125" s="12">
        <v>60</v>
      </c>
      <c r="U125" s="10">
        <f t="shared" si="17"/>
        <v>5.1063829787234045</v>
      </c>
      <c r="V125" s="26">
        <v>2</v>
      </c>
      <c r="W125" s="14" t="s">
        <v>40</v>
      </c>
      <c r="X125" s="15">
        <f t="shared" si="25"/>
        <v>5.9333333333333336</v>
      </c>
      <c r="Y125" s="16">
        <f t="shared" si="19"/>
        <v>0.1702127659574468</v>
      </c>
      <c r="Z125" s="15">
        <f t="shared" si="26"/>
        <v>0.50496453900709226</v>
      </c>
      <c r="AA125" s="12">
        <f>T125+X125</f>
        <v>65.933333333333337</v>
      </c>
      <c r="AB125" s="15">
        <f t="shared" si="27"/>
        <v>5.611347517730497</v>
      </c>
      <c r="AC125" s="17">
        <f t="shared" si="24"/>
        <v>0.24397163120567378</v>
      </c>
      <c r="AD125" s="23" t="s">
        <v>228</v>
      </c>
      <c r="AE125" s="14" t="s">
        <v>47</v>
      </c>
      <c r="AF125" s="14" t="s">
        <v>48</v>
      </c>
      <c r="AG125" s="14" t="s">
        <v>485</v>
      </c>
      <c r="AH125" s="14" t="s">
        <v>230</v>
      </c>
    </row>
    <row r="126" spans="1:34" s="14" customFormat="1" x14ac:dyDescent="0.3">
      <c r="A126" s="19">
        <v>45281</v>
      </c>
      <c r="B126" s="14" t="s">
        <v>273</v>
      </c>
      <c r="C126" s="14" t="s">
        <v>60</v>
      </c>
      <c r="D126" s="14" t="s">
        <v>61</v>
      </c>
      <c r="E126" s="14" t="s">
        <v>62</v>
      </c>
      <c r="F126" s="14" t="s">
        <v>63</v>
      </c>
      <c r="G126" s="14" t="s">
        <v>64</v>
      </c>
      <c r="H126" s="27">
        <v>4838</v>
      </c>
      <c r="I126" s="14" t="s">
        <v>39</v>
      </c>
      <c r="K126" s="21"/>
      <c r="L126" s="19">
        <v>44562</v>
      </c>
      <c r="M126" s="19">
        <v>47330</v>
      </c>
      <c r="N126" s="19"/>
      <c r="O126" s="14">
        <v>91</v>
      </c>
      <c r="P126" s="12">
        <v>22.25</v>
      </c>
      <c r="Q126" s="15">
        <v>16.87</v>
      </c>
      <c r="R126" s="10">
        <f t="shared" si="28"/>
        <v>39.120000000000005</v>
      </c>
      <c r="S126" s="28">
        <v>0.5</v>
      </c>
      <c r="T126" s="12">
        <v>50</v>
      </c>
      <c r="U126" s="10">
        <f t="shared" si="17"/>
        <v>6.593406593406594</v>
      </c>
      <c r="V126" s="26">
        <v>7</v>
      </c>
      <c r="W126" s="52" t="s">
        <v>40</v>
      </c>
      <c r="X126" s="15">
        <f t="shared" si="25"/>
        <v>22.820000000000004</v>
      </c>
      <c r="Y126" s="16">
        <f t="shared" si="19"/>
        <v>0.92307692307692313</v>
      </c>
      <c r="Z126" s="15">
        <f t="shared" si="26"/>
        <v>3.0092307692307698</v>
      </c>
      <c r="AA126" s="12">
        <f>X126+T126</f>
        <v>72.820000000000007</v>
      </c>
      <c r="AB126" s="15">
        <f t="shared" si="27"/>
        <v>9.6026373626373633</v>
      </c>
      <c r="AC126" s="17">
        <f t="shared" si="24"/>
        <v>0.43157920730954441</v>
      </c>
      <c r="AD126" s="23"/>
    </row>
    <row r="127" spans="1:34" s="14" customFormat="1" x14ac:dyDescent="0.3">
      <c r="A127" s="19">
        <v>45309</v>
      </c>
      <c r="B127" s="14" t="s">
        <v>261</v>
      </c>
      <c r="C127" s="14" t="s">
        <v>262</v>
      </c>
      <c r="D127" s="14" t="s">
        <v>263</v>
      </c>
      <c r="E127" s="14" t="s">
        <v>62</v>
      </c>
      <c r="F127" s="14" t="s">
        <v>63</v>
      </c>
      <c r="G127" s="14" t="s">
        <v>64</v>
      </c>
      <c r="H127" s="27">
        <v>105985</v>
      </c>
      <c r="I127" s="14" t="s">
        <v>39</v>
      </c>
      <c r="K127" s="21">
        <v>45292</v>
      </c>
      <c r="L127" s="19"/>
      <c r="M127" s="19"/>
      <c r="N127" s="19"/>
      <c r="O127" s="14">
        <v>135</v>
      </c>
      <c r="P127" s="12">
        <v>15</v>
      </c>
      <c r="R127" s="10">
        <f t="shared" si="28"/>
        <v>15</v>
      </c>
      <c r="S127" s="15">
        <v>0.5</v>
      </c>
      <c r="T127" s="58">
        <v>90</v>
      </c>
      <c r="U127" s="10">
        <f t="shared" si="17"/>
        <v>8</v>
      </c>
      <c r="V127" s="26">
        <v>15</v>
      </c>
      <c r="W127" s="14" t="s">
        <v>40</v>
      </c>
      <c r="X127" s="15">
        <f t="shared" si="25"/>
        <v>18.75</v>
      </c>
      <c r="Y127" s="16">
        <f t="shared" si="19"/>
        <v>1.3333333333333333</v>
      </c>
      <c r="Z127" s="15">
        <f t="shared" si="26"/>
        <v>1.6666666666666667</v>
      </c>
      <c r="AA127" s="12">
        <f>X127+T127</f>
        <v>108.75</v>
      </c>
      <c r="AB127" s="15">
        <f t="shared" si="27"/>
        <v>9.6666666666666661</v>
      </c>
      <c r="AC127" s="17">
        <f t="shared" si="24"/>
        <v>0.64444444444444438</v>
      </c>
      <c r="AD127" s="23" t="s">
        <v>264</v>
      </c>
      <c r="AE127" s="8" t="s">
        <v>91</v>
      </c>
      <c r="AF127" s="14" t="s">
        <v>265</v>
      </c>
      <c r="AH127" s="14" t="s">
        <v>266</v>
      </c>
    </row>
    <row r="128" spans="1:34" s="14" customFormat="1" ht="28.8" x14ac:dyDescent="0.3">
      <c r="A128" s="19">
        <v>44307</v>
      </c>
      <c r="B128" s="14" t="s">
        <v>813</v>
      </c>
      <c r="C128" s="14" t="s">
        <v>814</v>
      </c>
      <c r="D128" s="14" t="s">
        <v>637</v>
      </c>
      <c r="E128" s="14" t="s">
        <v>103</v>
      </c>
      <c r="F128" s="14" t="s">
        <v>37</v>
      </c>
      <c r="G128" s="14" t="s">
        <v>38</v>
      </c>
      <c r="H128" s="20">
        <v>4401</v>
      </c>
      <c r="I128" s="14" t="s">
        <v>74</v>
      </c>
      <c r="K128" s="21"/>
      <c r="L128" s="19">
        <v>44501</v>
      </c>
      <c r="M128" s="19">
        <v>47361</v>
      </c>
      <c r="N128" s="19"/>
      <c r="O128" s="14">
        <v>94</v>
      </c>
      <c r="P128" s="22">
        <v>16.75</v>
      </c>
      <c r="Q128" s="10">
        <v>10.91</v>
      </c>
      <c r="R128" s="10">
        <f t="shared" si="28"/>
        <v>27.66</v>
      </c>
      <c r="S128" s="15">
        <v>0.5</v>
      </c>
      <c r="T128" s="12">
        <v>25</v>
      </c>
      <c r="U128" s="10">
        <f t="shared" si="17"/>
        <v>3.1914893617021276</v>
      </c>
      <c r="V128" s="26">
        <v>10</v>
      </c>
      <c r="W128" s="14" t="s">
        <v>169</v>
      </c>
      <c r="X128" s="15">
        <f t="shared" si="25"/>
        <v>23.05</v>
      </c>
      <c r="Y128" s="16">
        <f t="shared" si="19"/>
        <v>1.2765957446808511</v>
      </c>
      <c r="Z128" s="15">
        <f t="shared" si="26"/>
        <v>2.9425531914893619</v>
      </c>
      <c r="AA128" s="12">
        <f>X128+T128</f>
        <v>48.05</v>
      </c>
      <c r="AB128" s="15">
        <f t="shared" si="27"/>
        <v>6.1340425531914891</v>
      </c>
      <c r="AC128" s="17">
        <f t="shared" si="24"/>
        <v>0.36621149571292472</v>
      </c>
      <c r="AD128" s="23" t="s">
        <v>638</v>
      </c>
      <c r="AE128" s="14" t="s">
        <v>288</v>
      </c>
      <c r="AF128" s="14" t="s">
        <v>612</v>
      </c>
      <c r="AH128" s="14" t="s">
        <v>49</v>
      </c>
    </row>
    <row r="129" spans="1:34" s="14" customFormat="1" ht="43.2" x14ac:dyDescent="0.3">
      <c r="A129" s="19">
        <v>43951</v>
      </c>
      <c r="B129" s="14" t="s">
        <v>1144</v>
      </c>
      <c r="C129" s="14" t="s">
        <v>757</v>
      </c>
      <c r="D129" s="14" t="s">
        <v>758</v>
      </c>
      <c r="E129" s="14" t="s">
        <v>144</v>
      </c>
      <c r="F129" s="14" t="s">
        <v>37</v>
      </c>
      <c r="G129" s="14" t="s">
        <v>64</v>
      </c>
      <c r="H129" s="20">
        <v>39252</v>
      </c>
      <c r="I129" s="14" t="s">
        <v>39</v>
      </c>
      <c r="K129" s="21">
        <v>43862</v>
      </c>
      <c r="L129" s="19">
        <v>44044</v>
      </c>
      <c r="M129" s="19">
        <v>48426</v>
      </c>
      <c r="N129" s="19"/>
      <c r="O129" s="14">
        <v>144</v>
      </c>
      <c r="P129" s="22">
        <v>17.25</v>
      </c>
      <c r="Q129" s="10">
        <v>10.46</v>
      </c>
      <c r="R129" s="10">
        <f t="shared" si="28"/>
        <v>27.71</v>
      </c>
      <c r="S129" s="15">
        <v>0.5</v>
      </c>
      <c r="T129" s="12">
        <v>65</v>
      </c>
      <c r="U129" s="10">
        <f t="shared" si="17"/>
        <v>5.416666666666667</v>
      </c>
      <c r="V129" s="26">
        <v>18</v>
      </c>
      <c r="W129" s="14" t="s">
        <v>40</v>
      </c>
      <c r="X129" s="15">
        <f t="shared" si="25"/>
        <v>41.564999999999998</v>
      </c>
      <c r="Y129" s="16">
        <f t="shared" si="19"/>
        <v>1.5</v>
      </c>
      <c r="Z129" s="15">
        <f t="shared" si="26"/>
        <v>3.4637499999999997</v>
      </c>
      <c r="AA129" s="12">
        <f>X129+T129</f>
        <v>106.565</v>
      </c>
      <c r="AB129" s="15">
        <f t="shared" si="27"/>
        <v>8.8804166666666671</v>
      </c>
      <c r="AC129" s="17">
        <f t="shared" si="24"/>
        <v>0.51480676328502417</v>
      </c>
      <c r="AD129" s="23" t="s">
        <v>759</v>
      </c>
      <c r="AE129" s="14" t="s">
        <v>42</v>
      </c>
      <c r="AF129" s="14" t="s">
        <v>1145</v>
      </c>
      <c r="AG129" s="14" t="s">
        <v>1146</v>
      </c>
      <c r="AH129" s="14" t="s">
        <v>1147</v>
      </c>
    </row>
    <row r="130" spans="1:34" s="14" customFormat="1" ht="28.8" x14ac:dyDescent="0.3">
      <c r="A130" s="19">
        <v>44323</v>
      </c>
      <c r="B130" s="14" t="s">
        <v>793</v>
      </c>
      <c r="C130" s="14" t="s">
        <v>794</v>
      </c>
      <c r="D130" s="8" t="s">
        <v>242</v>
      </c>
      <c r="E130" s="14" t="s">
        <v>243</v>
      </c>
      <c r="F130" s="14" t="s">
        <v>37</v>
      </c>
      <c r="G130" s="14" t="s">
        <v>64</v>
      </c>
      <c r="H130" s="20">
        <v>3784</v>
      </c>
      <c r="I130" s="14" t="s">
        <v>39</v>
      </c>
      <c r="K130" s="21"/>
      <c r="L130" s="19">
        <v>44317</v>
      </c>
      <c r="M130" s="19">
        <v>46356</v>
      </c>
      <c r="N130" s="19"/>
      <c r="O130" s="14">
        <v>67</v>
      </c>
      <c r="P130" s="22">
        <v>15.5</v>
      </c>
      <c r="Q130" s="10">
        <v>16.010000000000002</v>
      </c>
      <c r="R130" s="10">
        <f t="shared" si="28"/>
        <v>31.51</v>
      </c>
      <c r="S130" s="15">
        <v>0.5</v>
      </c>
      <c r="T130" s="12">
        <v>13</v>
      </c>
      <c r="U130" s="10">
        <f t="shared" ref="U130:U193" si="29">T130/(O130/12)</f>
        <v>2.3283582089552239</v>
      </c>
      <c r="V130" s="26">
        <v>7</v>
      </c>
      <c r="W130" s="14" t="s">
        <v>40</v>
      </c>
      <c r="X130" s="15">
        <f t="shared" ref="X130:X161" si="30">(V130/12)*R130</f>
        <v>18.380833333333335</v>
      </c>
      <c r="Y130" s="16">
        <f t="shared" ref="Y130:Y193" si="31">V130/(O130/12)</f>
        <v>1.2537313432835822</v>
      </c>
      <c r="Z130" s="15">
        <f t="shared" ref="Z130:Z161" si="32">X130/(O130/12)</f>
        <v>3.2920895522388065</v>
      </c>
      <c r="AA130" s="12">
        <f>T130+X130</f>
        <v>31.380833333333335</v>
      </c>
      <c r="AB130" s="15">
        <f t="shared" ref="AB130:AB161" si="33">AA130/(O130/12)</f>
        <v>5.6204477611940309</v>
      </c>
      <c r="AC130" s="17">
        <f t="shared" si="24"/>
        <v>0.36260953298026005</v>
      </c>
      <c r="AD130" s="23" t="s">
        <v>244</v>
      </c>
      <c r="AE130" s="8" t="s">
        <v>91</v>
      </c>
      <c r="AF130" s="14" t="s">
        <v>795</v>
      </c>
      <c r="AG130" s="14" t="s">
        <v>796</v>
      </c>
      <c r="AH130" s="14" t="s">
        <v>797</v>
      </c>
    </row>
    <row r="131" spans="1:34" s="14" customFormat="1" ht="28.8" x14ac:dyDescent="0.3">
      <c r="A131" s="19">
        <v>43951</v>
      </c>
      <c r="B131" s="14" t="s">
        <v>972</v>
      </c>
      <c r="D131" s="14" t="s">
        <v>973</v>
      </c>
      <c r="E131" s="14" t="s">
        <v>239</v>
      </c>
      <c r="F131" s="14" t="s">
        <v>37</v>
      </c>
      <c r="G131" s="14" t="s">
        <v>38</v>
      </c>
      <c r="H131" s="20">
        <v>11421</v>
      </c>
      <c r="K131" s="21"/>
      <c r="L131" s="19">
        <v>43570</v>
      </c>
      <c r="M131" s="19">
        <v>46340</v>
      </c>
      <c r="N131" s="19"/>
      <c r="O131" s="14">
        <v>91</v>
      </c>
      <c r="P131" s="22">
        <v>14.95</v>
      </c>
      <c r="Q131" s="10">
        <v>9.61</v>
      </c>
      <c r="R131" s="10">
        <f t="shared" si="28"/>
        <v>24.56</v>
      </c>
      <c r="S131" s="15">
        <v>0.5</v>
      </c>
      <c r="T131" s="12">
        <v>57.5</v>
      </c>
      <c r="U131" s="10">
        <f t="shared" si="29"/>
        <v>7.582417582417583</v>
      </c>
      <c r="V131" s="26">
        <v>7</v>
      </c>
      <c r="W131" s="14" t="s">
        <v>40</v>
      </c>
      <c r="X131" s="15">
        <f t="shared" si="30"/>
        <v>14.326666666666666</v>
      </c>
      <c r="Y131" s="16">
        <f t="shared" si="31"/>
        <v>0.92307692307692313</v>
      </c>
      <c r="Z131" s="15">
        <f t="shared" si="32"/>
        <v>1.8892307692307693</v>
      </c>
      <c r="AA131" s="12">
        <f>T131+X131</f>
        <v>71.826666666666668</v>
      </c>
      <c r="AB131" s="15">
        <f t="shared" si="33"/>
        <v>9.4716483516483514</v>
      </c>
      <c r="AC131" s="17">
        <f t="shared" si="24"/>
        <v>0.633555073688853</v>
      </c>
      <c r="AD131" s="23" t="s">
        <v>974</v>
      </c>
      <c r="AE131" s="8" t="s">
        <v>91</v>
      </c>
      <c r="AF131" s="14" t="s">
        <v>116</v>
      </c>
      <c r="AG131" s="14" t="s">
        <v>975</v>
      </c>
      <c r="AH131" s="14" t="s">
        <v>441</v>
      </c>
    </row>
    <row r="132" spans="1:34" s="14" customFormat="1" ht="28.8" x14ac:dyDescent="0.3">
      <c r="A132" s="19">
        <v>44229</v>
      </c>
      <c r="B132" s="14" t="s">
        <v>859</v>
      </c>
      <c r="C132" s="14" t="s">
        <v>110</v>
      </c>
      <c r="D132" s="14" t="s">
        <v>111</v>
      </c>
      <c r="E132" s="14" t="s">
        <v>97</v>
      </c>
      <c r="F132" s="14" t="s">
        <v>97</v>
      </c>
      <c r="G132" s="14" t="s">
        <v>64</v>
      </c>
      <c r="H132" s="20">
        <v>10764</v>
      </c>
      <c r="I132" s="14" t="s">
        <v>488</v>
      </c>
      <c r="K132" s="21"/>
      <c r="L132" s="19">
        <v>44440</v>
      </c>
      <c r="M132" s="19">
        <v>46996</v>
      </c>
      <c r="N132" s="19"/>
      <c r="O132" s="14">
        <v>84</v>
      </c>
      <c r="P132" s="22">
        <v>21.83</v>
      </c>
      <c r="Q132" s="10">
        <v>22.17</v>
      </c>
      <c r="R132" s="10">
        <f t="shared" si="28"/>
        <v>44</v>
      </c>
      <c r="S132" s="15">
        <v>0.5</v>
      </c>
      <c r="T132" s="12">
        <v>40</v>
      </c>
      <c r="U132" s="10">
        <f t="shared" si="29"/>
        <v>5.7142857142857144</v>
      </c>
      <c r="V132" s="26">
        <v>8</v>
      </c>
      <c r="W132" s="14" t="s">
        <v>40</v>
      </c>
      <c r="X132" s="15">
        <f t="shared" si="30"/>
        <v>29.333333333333332</v>
      </c>
      <c r="Y132" s="16">
        <f t="shared" si="31"/>
        <v>1.1428571428571428</v>
      </c>
      <c r="Z132" s="15">
        <f t="shared" si="32"/>
        <v>4.1904761904761907</v>
      </c>
      <c r="AA132" s="12">
        <f>T132+X132</f>
        <v>69.333333333333329</v>
      </c>
      <c r="AB132" s="15">
        <f t="shared" si="33"/>
        <v>9.9047619047619033</v>
      </c>
      <c r="AC132" s="17">
        <f t="shared" si="24"/>
        <v>0.4537224876207927</v>
      </c>
      <c r="AD132" s="23" t="s">
        <v>860</v>
      </c>
      <c r="AE132" s="8" t="s">
        <v>91</v>
      </c>
      <c r="AF132" s="14" t="s">
        <v>795</v>
      </c>
      <c r="AG132" s="14" t="s">
        <v>187</v>
      </c>
      <c r="AH132" s="14" t="s">
        <v>797</v>
      </c>
    </row>
    <row r="133" spans="1:34" s="14" customFormat="1" ht="28.8" x14ac:dyDescent="0.3">
      <c r="A133" s="19">
        <v>43951</v>
      </c>
      <c r="B133" s="14" t="s">
        <v>997</v>
      </c>
      <c r="C133" s="14" t="s">
        <v>372</v>
      </c>
      <c r="D133" s="14" t="s">
        <v>586</v>
      </c>
      <c r="E133" s="14" t="s">
        <v>62</v>
      </c>
      <c r="F133" s="14" t="s">
        <v>63</v>
      </c>
      <c r="G133" s="14" t="s">
        <v>64</v>
      </c>
      <c r="H133" s="20">
        <v>10093</v>
      </c>
      <c r="I133" s="14" t="s">
        <v>39</v>
      </c>
      <c r="K133" s="21"/>
      <c r="L133" s="19">
        <v>43891</v>
      </c>
      <c r="M133" s="19">
        <v>46660</v>
      </c>
      <c r="N133" s="19"/>
      <c r="O133" s="14">
        <v>91</v>
      </c>
      <c r="P133" s="22">
        <v>15.5</v>
      </c>
      <c r="Q133" s="10">
        <v>16.100000000000001</v>
      </c>
      <c r="R133" s="10">
        <f t="shared" si="28"/>
        <v>31.6</v>
      </c>
      <c r="S133" s="15">
        <v>0.5</v>
      </c>
      <c r="T133" s="12">
        <v>50</v>
      </c>
      <c r="U133" s="10">
        <f t="shared" si="29"/>
        <v>6.593406593406594</v>
      </c>
      <c r="V133" s="26">
        <v>7</v>
      </c>
      <c r="W133" s="14" t="s">
        <v>40</v>
      </c>
      <c r="X133" s="15">
        <f t="shared" si="30"/>
        <v>18.433333333333334</v>
      </c>
      <c r="Y133" s="16">
        <f t="shared" si="31"/>
        <v>0.92307692307692313</v>
      </c>
      <c r="Z133" s="15">
        <f t="shared" si="32"/>
        <v>2.430769230769231</v>
      </c>
      <c r="AA133" s="12">
        <f>X133+T133</f>
        <v>68.433333333333337</v>
      </c>
      <c r="AB133" s="15">
        <f t="shared" si="33"/>
        <v>9.0241758241758259</v>
      </c>
      <c r="AC133" s="17">
        <f t="shared" si="24"/>
        <v>0.58220489188231139</v>
      </c>
      <c r="AD133" s="23" t="s">
        <v>374</v>
      </c>
      <c r="AE133" s="8" t="s">
        <v>91</v>
      </c>
      <c r="AF133" s="14" t="s">
        <v>92</v>
      </c>
    </row>
    <row r="134" spans="1:34" s="14" customFormat="1" ht="28.8" x14ac:dyDescent="0.3">
      <c r="A134" s="19">
        <v>43951</v>
      </c>
      <c r="B134" s="14" t="s">
        <v>948</v>
      </c>
      <c r="C134" s="14" t="s">
        <v>147</v>
      </c>
      <c r="D134" s="14" t="s">
        <v>366</v>
      </c>
      <c r="E134" s="14" t="s">
        <v>89</v>
      </c>
      <c r="F134" s="14" t="s">
        <v>90</v>
      </c>
      <c r="G134" s="14" t="s">
        <v>64</v>
      </c>
      <c r="H134" s="20">
        <v>6777</v>
      </c>
      <c r="I134" s="14" t="s">
        <v>74</v>
      </c>
      <c r="K134" s="21">
        <v>43770</v>
      </c>
      <c r="L134" s="19">
        <v>44197</v>
      </c>
      <c r="M134" s="19">
        <v>46173</v>
      </c>
      <c r="N134" s="19"/>
      <c r="O134" s="14">
        <v>65</v>
      </c>
      <c r="P134" s="22">
        <v>15.5</v>
      </c>
      <c r="Q134" s="10">
        <v>13.64</v>
      </c>
      <c r="R134" s="10">
        <f t="shared" si="28"/>
        <v>29.14</v>
      </c>
      <c r="S134" s="15">
        <v>0.5</v>
      </c>
      <c r="T134" s="12">
        <v>15</v>
      </c>
      <c r="U134" s="10">
        <f t="shared" si="29"/>
        <v>2.7692307692307692</v>
      </c>
      <c r="V134" s="26">
        <v>5</v>
      </c>
      <c r="W134" s="14" t="s">
        <v>40</v>
      </c>
      <c r="X134" s="15">
        <f t="shared" si="30"/>
        <v>12.141666666666667</v>
      </c>
      <c r="Y134" s="16">
        <f t="shared" si="31"/>
        <v>0.92307692307692302</v>
      </c>
      <c r="Z134" s="15">
        <f t="shared" si="32"/>
        <v>2.2415384615384615</v>
      </c>
      <c r="AA134" s="12">
        <f>X134+T134</f>
        <v>27.141666666666666</v>
      </c>
      <c r="AB134" s="15">
        <f t="shared" si="33"/>
        <v>5.0107692307692302</v>
      </c>
      <c r="AC134" s="17">
        <f t="shared" si="24"/>
        <v>0.32327543424317612</v>
      </c>
      <c r="AD134" s="23" t="s">
        <v>693</v>
      </c>
      <c r="AH134" s="14" t="s">
        <v>394</v>
      </c>
    </row>
    <row r="135" spans="1:34" s="14" customFormat="1" ht="28.8" x14ac:dyDescent="0.3">
      <c r="A135" s="19">
        <v>43951</v>
      </c>
      <c r="B135" s="14" t="s">
        <v>1132</v>
      </c>
      <c r="C135" s="14" t="s">
        <v>1133</v>
      </c>
      <c r="D135" s="14" t="s">
        <v>1134</v>
      </c>
      <c r="E135" s="14" t="s">
        <v>62</v>
      </c>
      <c r="F135" s="14" t="s">
        <v>63</v>
      </c>
      <c r="G135" s="14" t="s">
        <v>64</v>
      </c>
      <c r="H135" s="20">
        <v>43874</v>
      </c>
      <c r="I135" s="14" t="s">
        <v>39</v>
      </c>
      <c r="K135" s="21">
        <v>43344</v>
      </c>
      <c r="L135" s="19">
        <v>43647</v>
      </c>
      <c r="M135" s="19">
        <v>48395</v>
      </c>
      <c r="N135" s="19"/>
      <c r="O135" s="14">
        <v>156</v>
      </c>
      <c r="P135" s="22">
        <v>19.25</v>
      </c>
      <c r="Q135" s="10">
        <v>11.33</v>
      </c>
      <c r="R135" s="10">
        <f t="shared" si="28"/>
        <v>30.58</v>
      </c>
      <c r="S135" s="11">
        <v>0.03</v>
      </c>
      <c r="T135" s="12">
        <v>65</v>
      </c>
      <c r="U135" s="10">
        <f t="shared" si="29"/>
        <v>5</v>
      </c>
      <c r="V135" s="26">
        <v>18</v>
      </c>
      <c r="W135" s="14" t="s">
        <v>169</v>
      </c>
      <c r="X135" s="15">
        <f t="shared" si="30"/>
        <v>45.87</v>
      </c>
      <c r="Y135" s="16">
        <f t="shared" si="31"/>
        <v>1.3846153846153846</v>
      </c>
      <c r="Z135" s="15">
        <f t="shared" si="32"/>
        <v>3.5284615384615381</v>
      </c>
      <c r="AA135" s="12">
        <f>T135+X135</f>
        <v>110.87</v>
      </c>
      <c r="AB135" s="15">
        <f t="shared" si="33"/>
        <v>8.5284615384615385</v>
      </c>
      <c r="AC135" s="17">
        <f t="shared" si="24"/>
        <v>0.44303696303696305</v>
      </c>
      <c r="AD135" s="23" t="s">
        <v>1135</v>
      </c>
      <c r="AE135" s="14" t="s">
        <v>149</v>
      </c>
      <c r="AF135" s="14" t="s">
        <v>1136</v>
      </c>
      <c r="AH135" s="14" t="s">
        <v>1137</v>
      </c>
    </row>
    <row r="136" spans="1:34" s="14" customFormat="1" ht="28.8" x14ac:dyDescent="0.3">
      <c r="A136" s="19">
        <v>44601</v>
      </c>
      <c r="B136" s="14" t="s">
        <v>679</v>
      </c>
      <c r="C136" s="14" t="s">
        <v>527</v>
      </c>
      <c r="D136" s="14" t="s">
        <v>680</v>
      </c>
      <c r="E136" s="14" t="s">
        <v>357</v>
      </c>
      <c r="F136" s="14" t="s">
        <v>37</v>
      </c>
      <c r="G136" s="14" t="s">
        <v>38</v>
      </c>
      <c r="H136" s="20">
        <v>16522</v>
      </c>
      <c r="I136" s="14" t="s">
        <v>39</v>
      </c>
      <c r="K136" s="21"/>
      <c r="L136" s="19">
        <v>44562</v>
      </c>
      <c r="M136" s="19">
        <v>46843</v>
      </c>
      <c r="N136" s="19"/>
      <c r="O136" s="14">
        <v>75</v>
      </c>
      <c r="P136" s="22">
        <v>12.25</v>
      </c>
      <c r="Q136" s="10">
        <v>5</v>
      </c>
      <c r="R136" s="10">
        <f t="shared" si="28"/>
        <v>17.25</v>
      </c>
      <c r="S136" s="15">
        <v>0.5</v>
      </c>
      <c r="T136" s="12">
        <v>25</v>
      </c>
      <c r="U136" s="10">
        <f t="shared" si="29"/>
        <v>4</v>
      </c>
      <c r="V136" s="26">
        <v>9</v>
      </c>
      <c r="W136" s="14" t="s">
        <v>40</v>
      </c>
      <c r="X136" s="15">
        <f t="shared" si="30"/>
        <v>12.9375</v>
      </c>
      <c r="Y136" s="16">
        <f t="shared" si="31"/>
        <v>1.44</v>
      </c>
      <c r="Z136" s="15">
        <f t="shared" si="32"/>
        <v>2.0699999999999998</v>
      </c>
      <c r="AA136" s="12">
        <f>T136+X136</f>
        <v>37.9375</v>
      </c>
      <c r="AB136" s="15">
        <f t="shared" si="33"/>
        <v>6.07</v>
      </c>
      <c r="AC136" s="17">
        <f t="shared" si="24"/>
        <v>0.49551020408163265</v>
      </c>
      <c r="AD136" s="23" t="s">
        <v>681</v>
      </c>
      <c r="AE136" s="14" t="s">
        <v>682</v>
      </c>
      <c r="AF136" s="14" t="s">
        <v>683</v>
      </c>
      <c r="AH136" s="14" t="s">
        <v>72</v>
      </c>
    </row>
    <row r="137" spans="1:34" s="14" customFormat="1" ht="28.8" x14ac:dyDescent="0.3">
      <c r="A137" s="19">
        <v>43951</v>
      </c>
      <c r="B137" s="14" t="s">
        <v>1033</v>
      </c>
      <c r="D137" s="14" t="s">
        <v>640</v>
      </c>
      <c r="E137" s="14" t="s">
        <v>103</v>
      </c>
      <c r="F137" s="14" t="s">
        <v>37</v>
      </c>
      <c r="G137" s="14" t="s">
        <v>64</v>
      </c>
      <c r="H137" s="20">
        <v>7660</v>
      </c>
      <c r="I137" s="14" t="s">
        <v>39</v>
      </c>
      <c r="K137" s="21"/>
      <c r="L137" s="19">
        <v>43922</v>
      </c>
      <c r="M137" s="19">
        <v>47208</v>
      </c>
      <c r="N137" s="19"/>
      <c r="O137" s="14">
        <v>108</v>
      </c>
      <c r="P137" s="22">
        <v>14.63</v>
      </c>
      <c r="Q137" s="10">
        <v>8.3699999999999992</v>
      </c>
      <c r="R137" s="10">
        <f t="shared" si="28"/>
        <v>23</v>
      </c>
      <c r="S137" s="15">
        <v>0.5</v>
      </c>
      <c r="T137" s="12">
        <v>40</v>
      </c>
      <c r="U137" s="10">
        <f t="shared" si="29"/>
        <v>4.4444444444444446</v>
      </c>
      <c r="V137" s="26">
        <v>12</v>
      </c>
      <c r="W137" s="14" t="s">
        <v>40</v>
      </c>
      <c r="X137" s="15">
        <f t="shared" si="30"/>
        <v>23</v>
      </c>
      <c r="Y137" s="16">
        <f t="shared" si="31"/>
        <v>1.3333333333333333</v>
      </c>
      <c r="Z137" s="15">
        <f t="shared" si="32"/>
        <v>2.5555555555555554</v>
      </c>
      <c r="AA137" s="12">
        <f>T137+X137</f>
        <v>63</v>
      </c>
      <c r="AB137" s="15">
        <f t="shared" si="33"/>
        <v>7</v>
      </c>
      <c r="AC137" s="17">
        <f t="shared" si="24"/>
        <v>0.4784688995215311</v>
      </c>
      <c r="AD137" s="23" t="s">
        <v>1034</v>
      </c>
      <c r="AE137" s="14" t="s">
        <v>582</v>
      </c>
      <c r="AF137" s="14" t="s">
        <v>1035</v>
      </c>
      <c r="AG137" s="14" t="s">
        <v>1036</v>
      </c>
      <c r="AH137" s="14" t="s">
        <v>614</v>
      </c>
    </row>
    <row r="138" spans="1:34" s="14" customFormat="1" ht="28.8" x14ac:dyDescent="0.3">
      <c r="A138" s="19">
        <v>43951</v>
      </c>
      <c r="B138" s="14" t="s">
        <v>980</v>
      </c>
      <c r="C138" s="14" t="s">
        <v>769</v>
      </c>
      <c r="D138" s="14" t="s">
        <v>981</v>
      </c>
      <c r="E138" s="14" t="s">
        <v>144</v>
      </c>
      <c r="F138" s="14" t="s">
        <v>37</v>
      </c>
      <c r="G138" s="14" t="s">
        <v>64</v>
      </c>
      <c r="H138" s="20">
        <v>8075</v>
      </c>
      <c r="I138" s="14" t="s">
        <v>74</v>
      </c>
      <c r="K138" s="21"/>
      <c r="L138" s="19">
        <v>43617</v>
      </c>
      <c r="M138" s="19">
        <v>46387</v>
      </c>
      <c r="N138" s="19"/>
      <c r="O138" s="14">
        <v>91</v>
      </c>
      <c r="P138" s="22">
        <v>17</v>
      </c>
      <c r="Q138" s="10">
        <v>17.010000000000002</v>
      </c>
      <c r="R138" s="10">
        <f t="shared" si="28"/>
        <v>34.010000000000005</v>
      </c>
      <c r="S138" s="15">
        <v>0.5</v>
      </c>
      <c r="T138" s="12">
        <v>30</v>
      </c>
      <c r="U138" s="10">
        <f t="shared" si="29"/>
        <v>3.9560439560439562</v>
      </c>
      <c r="V138" s="26">
        <v>7</v>
      </c>
      <c r="W138" s="14" t="s">
        <v>40</v>
      </c>
      <c r="X138" s="15">
        <f t="shared" si="30"/>
        <v>19.839166666666671</v>
      </c>
      <c r="Y138" s="16">
        <f t="shared" si="31"/>
        <v>0.92307692307692313</v>
      </c>
      <c r="Z138" s="15">
        <f t="shared" si="32"/>
        <v>2.6161538461538467</v>
      </c>
      <c r="AA138" s="12">
        <f>X138+T138</f>
        <v>49.839166666666671</v>
      </c>
      <c r="AB138" s="15">
        <f t="shared" si="33"/>
        <v>6.5721978021978034</v>
      </c>
      <c r="AC138" s="17">
        <f t="shared" si="24"/>
        <v>0.38659987071751784</v>
      </c>
      <c r="AD138" s="23" t="s">
        <v>982</v>
      </c>
      <c r="AE138" s="8" t="s">
        <v>91</v>
      </c>
      <c r="AF138" s="14" t="s">
        <v>116</v>
      </c>
      <c r="AH138" s="14" t="s">
        <v>441</v>
      </c>
    </row>
    <row r="139" spans="1:34" s="14" customFormat="1" ht="115.2" x14ac:dyDescent="0.3">
      <c r="A139" s="19">
        <v>44035</v>
      </c>
      <c r="B139" s="14" t="s">
        <v>921</v>
      </c>
      <c r="C139" s="14" t="s">
        <v>388</v>
      </c>
      <c r="D139" s="14" t="s">
        <v>298</v>
      </c>
      <c r="E139" s="14" t="s">
        <v>36</v>
      </c>
      <c r="F139" s="14" t="s">
        <v>37</v>
      </c>
      <c r="G139" s="14" t="s">
        <v>38</v>
      </c>
      <c r="H139" s="20">
        <v>13189</v>
      </c>
      <c r="I139" s="14" t="s">
        <v>212</v>
      </c>
      <c r="K139" s="21">
        <v>43983</v>
      </c>
      <c r="L139" s="19">
        <v>44013</v>
      </c>
      <c r="M139" s="19">
        <v>46599</v>
      </c>
      <c r="N139" s="19"/>
      <c r="O139" s="14">
        <v>85</v>
      </c>
      <c r="P139" s="22">
        <v>11.67</v>
      </c>
      <c r="Q139" s="10">
        <v>12.33</v>
      </c>
      <c r="R139" s="10">
        <f t="shared" si="28"/>
        <v>24</v>
      </c>
      <c r="S139" s="15">
        <v>0.5</v>
      </c>
      <c r="T139" s="12">
        <v>0</v>
      </c>
      <c r="U139" s="10">
        <f t="shared" si="29"/>
        <v>0</v>
      </c>
      <c r="V139" s="26">
        <v>2</v>
      </c>
      <c r="W139" s="14" t="s">
        <v>40</v>
      </c>
      <c r="X139" s="15">
        <f t="shared" si="30"/>
        <v>4</v>
      </c>
      <c r="Y139" s="16">
        <f t="shared" si="31"/>
        <v>0.28235294117647058</v>
      </c>
      <c r="Z139" s="15">
        <f t="shared" si="32"/>
        <v>0.56470588235294117</v>
      </c>
      <c r="AA139" s="12">
        <f>T139+X139</f>
        <v>4</v>
      </c>
      <c r="AB139" s="15">
        <f t="shared" si="33"/>
        <v>0.56470588235294117</v>
      </c>
      <c r="AC139" s="17">
        <f t="shared" si="24"/>
        <v>4.8389535762891275E-2</v>
      </c>
      <c r="AD139" s="23" t="s">
        <v>389</v>
      </c>
      <c r="AE139" s="14" t="s">
        <v>42</v>
      </c>
      <c r="AF139" s="14" t="s">
        <v>922</v>
      </c>
      <c r="AG139" s="14" t="s">
        <v>923</v>
      </c>
      <c r="AH139" s="14" t="s">
        <v>72</v>
      </c>
    </row>
    <row r="140" spans="1:34" s="14" customFormat="1" ht="43.2" x14ac:dyDescent="0.3">
      <c r="A140" s="19">
        <v>43951</v>
      </c>
      <c r="B140" s="14" t="s">
        <v>1116</v>
      </c>
      <c r="C140" s="14" t="s">
        <v>1117</v>
      </c>
      <c r="D140" s="14" t="s">
        <v>863</v>
      </c>
      <c r="E140" s="14" t="s">
        <v>89</v>
      </c>
      <c r="F140" s="14" t="s">
        <v>90</v>
      </c>
      <c r="G140" s="14" t="s">
        <v>64</v>
      </c>
      <c r="H140" s="20">
        <v>16651</v>
      </c>
      <c r="I140" s="14" t="s">
        <v>39</v>
      </c>
      <c r="K140" s="21"/>
      <c r="L140" s="19">
        <v>43983</v>
      </c>
      <c r="M140" s="19">
        <v>47999</v>
      </c>
      <c r="N140" s="19"/>
      <c r="O140" s="14">
        <v>132</v>
      </c>
      <c r="P140" s="22">
        <v>13</v>
      </c>
      <c r="Q140" s="10">
        <v>14.27</v>
      </c>
      <c r="R140" s="10">
        <f t="shared" si="28"/>
        <v>27.27</v>
      </c>
      <c r="S140" s="15">
        <v>0.5</v>
      </c>
      <c r="T140" s="12">
        <v>57</v>
      </c>
      <c r="U140" s="10">
        <f t="shared" si="29"/>
        <v>5.1818181818181817</v>
      </c>
      <c r="V140" s="26">
        <v>12</v>
      </c>
      <c r="W140" s="14" t="s">
        <v>40</v>
      </c>
      <c r="X140" s="15">
        <f t="shared" si="30"/>
        <v>27.27</v>
      </c>
      <c r="Y140" s="16">
        <f t="shared" si="31"/>
        <v>1.0909090909090908</v>
      </c>
      <c r="Z140" s="15">
        <f t="shared" si="32"/>
        <v>2.479090909090909</v>
      </c>
      <c r="AA140" s="12">
        <f>T140+X140</f>
        <v>84.27</v>
      </c>
      <c r="AB140" s="15">
        <f t="shared" si="33"/>
        <v>7.6609090909090902</v>
      </c>
      <c r="AC140" s="17">
        <f t="shared" si="24"/>
        <v>0.58930069930069928</v>
      </c>
      <c r="AD140" s="23" t="s">
        <v>374</v>
      </c>
      <c r="AE140" s="14" t="s">
        <v>98</v>
      </c>
      <c r="AF140" s="14" t="s">
        <v>465</v>
      </c>
      <c r="AG140" s="14" t="s">
        <v>1118</v>
      </c>
      <c r="AH140" s="14" t="s">
        <v>1119</v>
      </c>
    </row>
    <row r="141" spans="1:34" s="14" customFormat="1" ht="28.8" x14ac:dyDescent="0.3">
      <c r="A141" s="19">
        <v>44929</v>
      </c>
      <c r="B141" s="14" t="s">
        <v>486</v>
      </c>
      <c r="C141" s="14" t="s">
        <v>347</v>
      </c>
      <c r="D141" s="14" t="s">
        <v>487</v>
      </c>
      <c r="E141" s="14" t="s">
        <v>103</v>
      </c>
      <c r="F141" s="14" t="s">
        <v>37</v>
      </c>
      <c r="G141" s="14" t="s">
        <v>64</v>
      </c>
      <c r="H141" s="20">
        <v>7023</v>
      </c>
      <c r="I141" s="14" t="s">
        <v>488</v>
      </c>
      <c r="K141" s="21"/>
      <c r="L141" s="19">
        <v>44986</v>
      </c>
      <c r="M141" s="19">
        <v>46203</v>
      </c>
      <c r="N141" s="19"/>
      <c r="O141" s="14">
        <v>40</v>
      </c>
      <c r="P141" s="22">
        <v>16.25</v>
      </c>
      <c r="Q141" s="10">
        <v>13.03</v>
      </c>
      <c r="R141" s="10">
        <f t="shared" si="28"/>
        <v>29.28</v>
      </c>
      <c r="S141" s="15">
        <v>0.5</v>
      </c>
      <c r="T141" s="12">
        <v>12</v>
      </c>
      <c r="U141" s="10">
        <f t="shared" si="29"/>
        <v>3.5999999999999996</v>
      </c>
      <c r="V141" s="26">
        <v>4</v>
      </c>
      <c r="W141" s="14" t="s">
        <v>40</v>
      </c>
      <c r="X141" s="15">
        <f t="shared" si="30"/>
        <v>9.76</v>
      </c>
      <c r="Y141" s="16">
        <f t="shared" si="31"/>
        <v>1.2</v>
      </c>
      <c r="Z141" s="15">
        <f t="shared" si="32"/>
        <v>2.9279999999999999</v>
      </c>
      <c r="AA141" s="12">
        <f>T141+X141</f>
        <v>21.759999999999998</v>
      </c>
      <c r="AB141" s="15">
        <f t="shared" si="33"/>
        <v>6.5279999999999987</v>
      </c>
      <c r="AC141" s="17">
        <f t="shared" si="24"/>
        <v>0.40172307692307685</v>
      </c>
      <c r="AD141" s="23" t="s">
        <v>349</v>
      </c>
      <c r="AE141" s="14" t="s">
        <v>42</v>
      </c>
      <c r="AF141" s="14" t="s">
        <v>468</v>
      </c>
      <c r="AG141" s="14" t="s">
        <v>489</v>
      </c>
      <c r="AH141" s="14" t="s">
        <v>490</v>
      </c>
    </row>
    <row r="142" spans="1:34" s="14" customFormat="1" x14ac:dyDescent="0.3">
      <c r="A142" s="19">
        <v>45281</v>
      </c>
      <c r="B142" s="14" t="s">
        <v>284</v>
      </c>
      <c r="C142" s="14" t="s">
        <v>207</v>
      </c>
      <c r="D142" s="14" t="s">
        <v>208</v>
      </c>
      <c r="E142" s="14" t="s">
        <v>62</v>
      </c>
      <c r="F142" s="14" t="s">
        <v>63</v>
      </c>
      <c r="G142" s="14" t="s">
        <v>64</v>
      </c>
      <c r="H142" s="27">
        <v>6861</v>
      </c>
      <c r="I142" s="14" t="s">
        <v>39</v>
      </c>
      <c r="K142" s="21"/>
      <c r="L142" s="19">
        <v>45292</v>
      </c>
      <c r="M142" s="19">
        <v>49309</v>
      </c>
      <c r="N142" s="19"/>
      <c r="O142" s="14">
        <f>11*12</f>
        <v>132</v>
      </c>
      <c r="P142" s="12">
        <v>20.25</v>
      </c>
      <c r="Q142" s="15">
        <v>18.43</v>
      </c>
      <c r="R142" s="10">
        <f t="shared" si="28"/>
        <v>38.68</v>
      </c>
      <c r="S142" s="15">
        <v>0.5</v>
      </c>
      <c r="T142" s="12">
        <v>75</v>
      </c>
      <c r="U142" s="10">
        <f t="shared" si="29"/>
        <v>6.8181818181818183</v>
      </c>
      <c r="V142" s="26">
        <v>12</v>
      </c>
      <c r="W142" s="52" t="s">
        <v>40</v>
      </c>
      <c r="X142" s="15">
        <f t="shared" si="30"/>
        <v>38.68</v>
      </c>
      <c r="Y142" s="16">
        <f t="shared" si="31"/>
        <v>1.0909090909090908</v>
      </c>
      <c r="Z142" s="15">
        <f t="shared" si="32"/>
        <v>3.5163636363636361</v>
      </c>
      <c r="AA142" s="12">
        <f>X142+T142</f>
        <v>113.68</v>
      </c>
      <c r="AB142" s="15">
        <f t="shared" si="33"/>
        <v>10.334545454545456</v>
      </c>
      <c r="AC142" s="17">
        <f t="shared" si="24"/>
        <v>0.51034792368125703</v>
      </c>
      <c r="AD142" s="23" t="s">
        <v>209</v>
      </c>
    </row>
    <row r="143" spans="1:34" s="14" customFormat="1" ht="28.8" x14ac:dyDescent="0.3">
      <c r="A143" s="19">
        <v>45812</v>
      </c>
      <c r="B143" s="14" t="s">
        <v>71</v>
      </c>
      <c r="C143" s="14" t="s">
        <v>60</v>
      </c>
      <c r="D143" s="14" t="s">
        <v>61</v>
      </c>
      <c r="E143" s="14" t="s">
        <v>62</v>
      </c>
      <c r="F143" s="14" t="s">
        <v>63</v>
      </c>
      <c r="G143" s="14" t="s">
        <v>64</v>
      </c>
      <c r="H143" s="20">
        <v>3458</v>
      </c>
      <c r="I143" s="14" t="s">
        <v>39</v>
      </c>
      <c r="K143" s="21"/>
      <c r="L143" s="19">
        <v>44713</v>
      </c>
      <c r="M143" s="19">
        <v>47483</v>
      </c>
      <c r="N143" s="19"/>
      <c r="O143" s="14">
        <v>91</v>
      </c>
      <c r="P143" s="22">
        <v>21.5</v>
      </c>
      <c r="Q143" s="10">
        <v>16.87</v>
      </c>
      <c r="R143" s="10">
        <f t="shared" si="28"/>
        <v>38.370000000000005</v>
      </c>
      <c r="S143" s="15">
        <v>0.5</v>
      </c>
      <c r="T143" s="12">
        <v>70</v>
      </c>
      <c r="U143" s="10">
        <f t="shared" si="29"/>
        <v>9.2307692307692317</v>
      </c>
      <c r="V143" s="26">
        <v>7</v>
      </c>
      <c r="W143" s="14" t="s">
        <v>40</v>
      </c>
      <c r="X143" s="15">
        <f t="shared" si="30"/>
        <v>22.382500000000004</v>
      </c>
      <c r="Y143" s="16">
        <f t="shared" si="31"/>
        <v>0.92307692307692313</v>
      </c>
      <c r="Z143" s="15">
        <f t="shared" si="32"/>
        <v>2.9515384615384623</v>
      </c>
      <c r="AA143" s="12">
        <f>T143+X143</f>
        <v>92.382500000000007</v>
      </c>
      <c r="AB143" s="15">
        <f t="shared" si="33"/>
        <v>12.182307692307694</v>
      </c>
      <c r="AC143" s="17">
        <f t="shared" si="24"/>
        <v>0.56661896243291598</v>
      </c>
      <c r="AD143" s="23"/>
      <c r="AH143" s="14" t="s">
        <v>72</v>
      </c>
    </row>
    <row r="144" spans="1:34" s="14" customFormat="1" ht="43.2" x14ac:dyDescent="0.3">
      <c r="A144" s="19">
        <v>43951</v>
      </c>
      <c r="B144" s="14" t="s">
        <v>1100</v>
      </c>
      <c r="C144" s="14" t="s">
        <v>1024</v>
      </c>
      <c r="D144" s="14" t="s">
        <v>335</v>
      </c>
      <c r="E144" s="14" t="s">
        <v>336</v>
      </c>
      <c r="F144" s="14" t="s">
        <v>63</v>
      </c>
      <c r="G144" s="14" t="s">
        <v>64</v>
      </c>
      <c r="H144" s="20">
        <v>10153</v>
      </c>
      <c r="I144" s="14" t="s">
        <v>39</v>
      </c>
      <c r="K144" s="21">
        <v>43617</v>
      </c>
      <c r="L144" s="19">
        <v>43862</v>
      </c>
      <c r="M144" s="19">
        <v>47879</v>
      </c>
      <c r="N144" s="19"/>
      <c r="O144" s="14">
        <v>132</v>
      </c>
      <c r="P144" s="22">
        <v>11.59</v>
      </c>
      <c r="Q144" s="10">
        <v>8.16</v>
      </c>
      <c r="R144" s="10">
        <f t="shared" si="28"/>
        <v>19.75</v>
      </c>
      <c r="S144" s="15">
        <v>0.5</v>
      </c>
      <c r="T144" s="12">
        <v>0</v>
      </c>
      <c r="U144" s="10">
        <f t="shared" si="29"/>
        <v>0</v>
      </c>
      <c r="V144" s="26">
        <v>11</v>
      </c>
      <c r="W144" s="14" t="s">
        <v>40</v>
      </c>
      <c r="X144" s="15">
        <f t="shared" si="30"/>
        <v>18.104166666666664</v>
      </c>
      <c r="Y144" s="16">
        <f t="shared" si="31"/>
        <v>1</v>
      </c>
      <c r="Z144" s="15">
        <f t="shared" si="32"/>
        <v>1.645833333333333</v>
      </c>
      <c r="AA144" s="12">
        <f>T144+X144</f>
        <v>18.104166666666664</v>
      </c>
      <c r="AB144" s="15">
        <f t="shared" si="33"/>
        <v>1.645833333333333</v>
      </c>
      <c r="AC144" s="17">
        <f t="shared" si="24"/>
        <v>0.14200460166810466</v>
      </c>
      <c r="AD144" s="23" t="s">
        <v>1101</v>
      </c>
      <c r="AE144" s="8" t="s">
        <v>91</v>
      </c>
      <c r="AF144" s="14" t="s">
        <v>225</v>
      </c>
      <c r="AG144" s="14" t="s">
        <v>1102</v>
      </c>
      <c r="AH144" s="14" t="s">
        <v>1043</v>
      </c>
    </row>
    <row r="145" spans="1:34" s="14" customFormat="1" ht="28.8" x14ac:dyDescent="0.3">
      <c r="A145" s="19">
        <v>43951</v>
      </c>
      <c r="B145" s="14" t="s">
        <v>1100</v>
      </c>
      <c r="C145" s="14" t="s">
        <v>1024</v>
      </c>
      <c r="D145" s="14" t="s">
        <v>335</v>
      </c>
      <c r="E145" s="14" t="s">
        <v>336</v>
      </c>
      <c r="F145" s="14" t="s">
        <v>63</v>
      </c>
      <c r="G145" s="14" t="s">
        <v>64</v>
      </c>
      <c r="H145" s="20">
        <v>10153</v>
      </c>
      <c r="I145" s="14" t="s">
        <v>74</v>
      </c>
      <c r="K145" s="21">
        <v>43739</v>
      </c>
      <c r="L145" s="19">
        <v>47880</v>
      </c>
      <c r="M145" s="19">
        <v>48244</v>
      </c>
      <c r="N145" s="19"/>
      <c r="O145" s="14">
        <v>12</v>
      </c>
      <c r="P145" s="22">
        <v>17.09</v>
      </c>
      <c r="Q145" s="10">
        <v>8.16</v>
      </c>
      <c r="R145" s="10">
        <f t="shared" ref="R145:R176" si="34">P145+Q145</f>
        <v>25.25</v>
      </c>
      <c r="S145" s="15">
        <v>0</v>
      </c>
      <c r="T145" s="12">
        <v>0</v>
      </c>
      <c r="U145" s="10">
        <f t="shared" si="29"/>
        <v>0</v>
      </c>
      <c r="V145" s="13">
        <v>0</v>
      </c>
      <c r="X145" s="15">
        <f t="shared" si="30"/>
        <v>0</v>
      </c>
      <c r="Y145" s="16">
        <f t="shared" si="31"/>
        <v>0</v>
      </c>
      <c r="Z145" s="15">
        <f t="shared" si="32"/>
        <v>0</v>
      </c>
      <c r="AA145" s="12">
        <f>X145+T145</f>
        <v>0</v>
      </c>
      <c r="AB145" s="15">
        <f t="shared" si="33"/>
        <v>0</v>
      </c>
      <c r="AC145" s="17"/>
      <c r="AD145" s="23" t="s">
        <v>1131</v>
      </c>
      <c r="AE145" s="8" t="s">
        <v>91</v>
      </c>
      <c r="AF145" s="14" t="s">
        <v>225</v>
      </c>
      <c r="AH145" s="14" t="s">
        <v>1010</v>
      </c>
    </row>
    <row r="146" spans="1:34" s="14" customFormat="1" ht="28.8" x14ac:dyDescent="0.3">
      <c r="A146" s="19">
        <v>43951</v>
      </c>
      <c r="B146" s="14" t="s">
        <v>1120</v>
      </c>
      <c r="C146" s="14" t="s">
        <v>118</v>
      </c>
      <c r="D146" s="14" t="s">
        <v>119</v>
      </c>
      <c r="E146" s="14" t="s">
        <v>120</v>
      </c>
      <c r="F146" s="14" t="s">
        <v>90</v>
      </c>
      <c r="G146" s="14" t="s">
        <v>55</v>
      </c>
      <c r="H146" s="20">
        <v>12999</v>
      </c>
      <c r="I146" s="14" t="s">
        <v>39</v>
      </c>
      <c r="K146" s="21">
        <v>43862</v>
      </c>
      <c r="L146" s="19">
        <v>43983</v>
      </c>
      <c r="M146" s="19">
        <v>47999</v>
      </c>
      <c r="N146" s="19"/>
      <c r="O146" s="14">
        <v>132</v>
      </c>
      <c r="P146" s="22">
        <v>14.75</v>
      </c>
      <c r="Q146" s="10">
        <v>11.51</v>
      </c>
      <c r="R146" s="10">
        <f t="shared" si="34"/>
        <v>26.259999999999998</v>
      </c>
      <c r="S146" s="15">
        <v>0.5</v>
      </c>
      <c r="T146" s="12">
        <v>65</v>
      </c>
      <c r="U146" s="10">
        <f t="shared" si="29"/>
        <v>5.9090909090909092</v>
      </c>
      <c r="V146" s="26">
        <v>12</v>
      </c>
      <c r="W146" s="14" t="s">
        <v>40</v>
      </c>
      <c r="X146" s="15">
        <f t="shared" si="30"/>
        <v>26.259999999999998</v>
      </c>
      <c r="Y146" s="16">
        <f t="shared" si="31"/>
        <v>1.0909090909090908</v>
      </c>
      <c r="Z146" s="15">
        <f t="shared" si="32"/>
        <v>2.3872727272727272</v>
      </c>
      <c r="AA146" s="12">
        <f>T146+X146</f>
        <v>91.259999999999991</v>
      </c>
      <c r="AB146" s="15">
        <f t="shared" si="33"/>
        <v>8.2963636363636351</v>
      </c>
      <c r="AC146" s="17">
        <f t="shared" ref="AC146:AC172" si="35">AB146/P146</f>
        <v>0.56246533127889053</v>
      </c>
      <c r="AD146" s="23" t="s">
        <v>1121</v>
      </c>
      <c r="AE146" s="14" t="s">
        <v>42</v>
      </c>
      <c r="AF146" s="14" t="s">
        <v>496</v>
      </c>
      <c r="AH146" s="14" t="s">
        <v>376</v>
      </c>
    </row>
    <row r="147" spans="1:34" s="14" customFormat="1" ht="28.8" x14ac:dyDescent="0.3">
      <c r="A147" s="19">
        <v>44582</v>
      </c>
      <c r="B147" s="14" t="s">
        <v>703</v>
      </c>
      <c r="C147" s="14" t="s">
        <v>675</v>
      </c>
      <c r="D147" s="14" t="s">
        <v>676</v>
      </c>
      <c r="E147" s="14" t="s">
        <v>103</v>
      </c>
      <c r="F147" s="14" t="s">
        <v>37</v>
      </c>
      <c r="G147" s="14" t="s">
        <v>64</v>
      </c>
      <c r="H147" s="20">
        <v>11662</v>
      </c>
      <c r="I147" s="14" t="s">
        <v>39</v>
      </c>
      <c r="K147" s="21"/>
      <c r="L147" s="19">
        <v>44682</v>
      </c>
      <c r="M147" s="19">
        <v>46691</v>
      </c>
      <c r="N147" s="19"/>
      <c r="O147" s="14">
        <v>66</v>
      </c>
      <c r="P147" s="22">
        <v>18</v>
      </c>
      <c r="Q147" s="10">
        <v>10.77</v>
      </c>
      <c r="R147" s="10">
        <f t="shared" si="34"/>
        <v>28.77</v>
      </c>
      <c r="S147" s="15">
        <v>0.5</v>
      </c>
      <c r="T147" s="12">
        <v>45</v>
      </c>
      <c r="U147" s="10">
        <f t="shared" si="29"/>
        <v>8.1818181818181817</v>
      </c>
      <c r="V147" s="26">
        <v>6</v>
      </c>
      <c r="W147" s="14" t="s">
        <v>40</v>
      </c>
      <c r="X147" s="15">
        <f t="shared" si="30"/>
        <v>14.385</v>
      </c>
      <c r="Y147" s="16">
        <f t="shared" si="31"/>
        <v>1.0909090909090908</v>
      </c>
      <c r="Z147" s="15">
        <f t="shared" si="32"/>
        <v>2.6154545454545453</v>
      </c>
      <c r="AA147" s="12">
        <f>X147+T147</f>
        <v>59.384999999999998</v>
      </c>
      <c r="AB147" s="15">
        <f t="shared" si="33"/>
        <v>10.797272727272727</v>
      </c>
      <c r="AC147" s="17">
        <f t="shared" si="35"/>
        <v>0.59984848484848485</v>
      </c>
      <c r="AD147" s="23" t="s">
        <v>677</v>
      </c>
      <c r="AE147" s="14" t="s">
        <v>149</v>
      </c>
      <c r="AF147" s="14" t="s">
        <v>704</v>
      </c>
      <c r="AH147" s="14" t="s">
        <v>230</v>
      </c>
    </row>
    <row r="148" spans="1:34" s="14" customFormat="1" x14ac:dyDescent="0.3">
      <c r="A148" s="8"/>
      <c r="B148" s="8" t="s">
        <v>1339</v>
      </c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>
        <v>36</v>
      </c>
      <c r="P148" s="54">
        <v>18.5</v>
      </c>
      <c r="Q148" s="55">
        <v>15.73</v>
      </c>
      <c r="R148" s="10">
        <f t="shared" si="34"/>
        <v>34.230000000000004</v>
      </c>
      <c r="S148" s="15">
        <v>0.5</v>
      </c>
      <c r="T148" s="12">
        <v>15</v>
      </c>
      <c r="U148" s="10">
        <f t="shared" si="29"/>
        <v>5</v>
      </c>
      <c r="V148" s="13">
        <v>3</v>
      </c>
      <c r="W148" s="52" t="s">
        <v>40</v>
      </c>
      <c r="X148" s="15">
        <f t="shared" si="30"/>
        <v>8.557500000000001</v>
      </c>
      <c r="Y148" s="16">
        <f t="shared" si="31"/>
        <v>1</v>
      </c>
      <c r="Z148" s="15">
        <f t="shared" si="32"/>
        <v>2.8525000000000005</v>
      </c>
      <c r="AA148" s="12">
        <f>X148+T148</f>
        <v>23.557500000000001</v>
      </c>
      <c r="AB148" s="15">
        <f t="shared" si="33"/>
        <v>7.8525</v>
      </c>
      <c r="AC148" s="17">
        <f t="shared" si="35"/>
        <v>0.42445945945945945</v>
      </c>
      <c r="AD148" s="18"/>
      <c r="AE148" s="8"/>
      <c r="AF148" s="8"/>
      <c r="AG148" s="8"/>
      <c r="AH148" s="8"/>
    </row>
    <row r="149" spans="1:34" s="14" customFormat="1" ht="57.6" x14ac:dyDescent="0.3">
      <c r="A149" s="19">
        <v>43951</v>
      </c>
      <c r="B149" s="14" t="s">
        <v>1169</v>
      </c>
      <c r="C149" s="14" t="s">
        <v>286</v>
      </c>
      <c r="D149" s="14" t="s">
        <v>287</v>
      </c>
      <c r="E149" s="14" t="s">
        <v>194</v>
      </c>
      <c r="F149" s="14" t="s">
        <v>63</v>
      </c>
      <c r="G149" s="14" t="s">
        <v>64</v>
      </c>
      <c r="H149" s="20">
        <v>78960</v>
      </c>
      <c r="I149" s="14" t="s">
        <v>39</v>
      </c>
      <c r="K149" s="21"/>
      <c r="L149" s="19">
        <v>43831</v>
      </c>
      <c r="M149" s="19">
        <v>51135</v>
      </c>
      <c r="N149" s="19"/>
      <c r="O149" s="14">
        <v>240</v>
      </c>
      <c r="P149" s="22">
        <v>18.75</v>
      </c>
      <c r="Q149" s="10">
        <v>15.08</v>
      </c>
      <c r="R149" s="10">
        <f t="shared" si="34"/>
        <v>33.83</v>
      </c>
      <c r="S149" s="11">
        <v>2.5000000000000001E-2</v>
      </c>
      <c r="T149" s="12">
        <v>70</v>
      </c>
      <c r="U149" s="10">
        <f t="shared" si="29"/>
        <v>3.5</v>
      </c>
      <c r="V149" s="26">
        <v>20</v>
      </c>
      <c r="W149" s="14" t="s">
        <v>40</v>
      </c>
      <c r="X149" s="15">
        <f t="shared" si="30"/>
        <v>56.383333333333333</v>
      </c>
      <c r="Y149" s="16">
        <f t="shared" si="31"/>
        <v>1</v>
      </c>
      <c r="Z149" s="15">
        <f t="shared" si="32"/>
        <v>2.8191666666666668</v>
      </c>
      <c r="AA149" s="12">
        <f>X149+T149</f>
        <v>126.38333333333333</v>
      </c>
      <c r="AB149" s="15">
        <f t="shared" si="33"/>
        <v>6.3191666666666659</v>
      </c>
      <c r="AC149" s="17">
        <f t="shared" si="35"/>
        <v>0.33702222222222217</v>
      </c>
      <c r="AD149" s="23" t="s">
        <v>1163</v>
      </c>
      <c r="AE149" s="14" t="s">
        <v>538</v>
      </c>
      <c r="AF149" s="14" t="s">
        <v>1170</v>
      </c>
      <c r="AG149" s="14" t="s">
        <v>1171</v>
      </c>
      <c r="AH149" s="14" t="s">
        <v>1172</v>
      </c>
    </row>
    <row r="150" spans="1:34" s="14" customFormat="1" ht="28.8" x14ac:dyDescent="0.3">
      <c r="A150" s="19">
        <v>44322</v>
      </c>
      <c r="B150" s="14" t="s">
        <v>805</v>
      </c>
      <c r="C150" s="14" t="s">
        <v>147</v>
      </c>
      <c r="D150" s="14" t="s">
        <v>393</v>
      </c>
      <c r="E150" s="14" t="s">
        <v>89</v>
      </c>
      <c r="F150" s="14" t="s">
        <v>90</v>
      </c>
      <c r="G150" s="14" t="s">
        <v>64</v>
      </c>
      <c r="H150" s="20">
        <v>8623</v>
      </c>
      <c r="I150" s="14" t="s">
        <v>74</v>
      </c>
      <c r="K150" s="21"/>
      <c r="L150" s="19">
        <v>44166</v>
      </c>
      <c r="M150" s="19">
        <v>48060</v>
      </c>
      <c r="N150" s="19"/>
      <c r="O150" s="14">
        <v>128</v>
      </c>
      <c r="P150" s="22">
        <v>15.25</v>
      </c>
      <c r="Q150" s="10">
        <v>15.16</v>
      </c>
      <c r="R150" s="10">
        <f t="shared" si="34"/>
        <v>30.41</v>
      </c>
      <c r="S150" s="15">
        <v>0.5</v>
      </c>
      <c r="T150" s="12">
        <v>40</v>
      </c>
      <c r="U150" s="10">
        <f t="shared" si="29"/>
        <v>3.75</v>
      </c>
      <c r="V150" s="26">
        <v>8</v>
      </c>
      <c r="W150" s="14" t="s">
        <v>40</v>
      </c>
      <c r="X150" s="15">
        <f t="shared" si="30"/>
        <v>20.273333333333333</v>
      </c>
      <c r="Y150" s="16">
        <f t="shared" si="31"/>
        <v>0.75</v>
      </c>
      <c r="Z150" s="15">
        <f t="shared" si="32"/>
        <v>1.900625</v>
      </c>
      <c r="AA150" s="12">
        <f>T150+X150</f>
        <v>60.273333333333333</v>
      </c>
      <c r="AB150" s="15">
        <f t="shared" si="33"/>
        <v>5.6506250000000007</v>
      </c>
      <c r="AC150" s="17">
        <f t="shared" si="35"/>
        <v>0.37053278688524593</v>
      </c>
      <c r="AD150" s="23" t="s">
        <v>367</v>
      </c>
      <c r="AE150" s="14" t="s">
        <v>98</v>
      </c>
      <c r="AF150" s="14" t="s">
        <v>806</v>
      </c>
      <c r="AG150" s="14" t="s">
        <v>807</v>
      </c>
      <c r="AH150" s="14" t="s">
        <v>616</v>
      </c>
    </row>
    <row r="151" spans="1:34" ht="43.2" x14ac:dyDescent="0.3">
      <c r="A151" s="19">
        <v>44102</v>
      </c>
      <c r="B151" s="14" t="s">
        <v>905</v>
      </c>
      <c r="C151" s="14"/>
      <c r="D151" s="14" t="s">
        <v>906</v>
      </c>
      <c r="E151" s="14" t="s">
        <v>907</v>
      </c>
      <c r="F151" s="14" t="s">
        <v>37</v>
      </c>
      <c r="G151" s="14" t="s">
        <v>64</v>
      </c>
      <c r="H151" s="20">
        <v>7384</v>
      </c>
      <c r="I151" s="14" t="s">
        <v>39</v>
      </c>
      <c r="J151" s="14"/>
      <c r="K151" s="21"/>
      <c r="L151" s="19">
        <v>44256</v>
      </c>
      <c r="M151" s="19">
        <v>47879</v>
      </c>
      <c r="N151" s="19"/>
      <c r="O151" s="14">
        <v>130</v>
      </c>
      <c r="P151" s="22">
        <v>18.5</v>
      </c>
      <c r="Q151" s="10">
        <v>10.5</v>
      </c>
      <c r="R151" s="10">
        <f t="shared" si="34"/>
        <v>29</v>
      </c>
      <c r="S151" s="15">
        <v>0.5</v>
      </c>
      <c r="T151" s="12">
        <v>50</v>
      </c>
      <c r="U151" s="10">
        <f t="shared" si="29"/>
        <v>4.615384615384615</v>
      </c>
      <c r="V151" s="26">
        <v>10</v>
      </c>
      <c r="W151" s="14" t="s">
        <v>40</v>
      </c>
      <c r="X151" s="15">
        <f t="shared" si="30"/>
        <v>24.166666666666668</v>
      </c>
      <c r="Y151" s="16">
        <f t="shared" si="31"/>
        <v>0.92307692307692302</v>
      </c>
      <c r="Z151" s="15">
        <f t="shared" si="32"/>
        <v>2.2307692307692308</v>
      </c>
      <c r="AA151" s="12">
        <f>X151+T151</f>
        <v>74.166666666666671</v>
      </c>
      <c r="AB151" s="15">
        <f t="shared" si="33"/>
        <v>6.8461538461538458</v>
      </c>
      <c r="AC151" s="17">
        <f t="shared" si="35"/>
        <v>0.37006237006237003</v>
      </c>
      <c r="AD151" s="23" t="s">
        <v>908</v>
      </c>
      <c r="AE151" s="14" t="s">
        <v>909</v>
      </c>
      <c r="AF151" s="14" t="s">
        <v>910</v>
      </c>
      <c r="AG151" s="14" t="s">
        <v>911</v>
      </c>
      <c r="AH151" s="14" t="s">
        <v>490</v>
      </c>
    </row>
    <row r="152" spans="1:34" s="14" customFormat="1" ht="28.8" x14ac:dyDescent="0.3">
      <c r="A152" s="19">
        <v>44629</v>
      </c>
      <c r="B152" s="14" t="s">
        <v>670</v>
      </c>
      <c r="C152" s="14" t="s">
        <v>671</v>
      </c>
      <c r="D152" s="14" t="s">
        <v>672</v>
      </c>
      <c r="E152" s="14" t="s">
        <v>120</v>
      </c>
      <c r="F152" s="14" t="s">
        <v>90</v>
      </c>
      <c r="G152" s="14" t="s">
        <v>55</v>
      </c>
      <c r="H152" s="20">
        <v>16798</v>
      </c>
      <c r="I152" s="14" t="s">
        <v>39</v>
      </c>
      <c r="K152" s="21"/>
      <c r="L152" s="19">
        <v>44470</v>
      </c>
      <c r="M152" s="19">
        <v>47695</v>
      </c>
      <c r="N152" s="19"/>
      <c r="O152" s="14">
        <v>106</v>
      </c>
      <c r="P152" s="22">
        <v>14.64</v>
      </c>
      <c r="Q152" s="10"/>
      <c r="R152" s="10">
        <f t="shared" si="34"/>
        <v>14.64</v>
      </c>
      <c r="S152" s="15">
        <v>0.5</v>
      </c>
      <c r="T152" s="12">
        <v>55</v>
      </c>
      <c r="U152" s="10">
        <f t="shared" si="29"/>
        <v>6.2264150943396226</v>
      </c>
      <c r="V152" s="26">
        <v>10</v>
      </c>
      <c r="W152" s="14" t="s">
        <v>40</v>
      </c>
      <c r="X152" s="15">
        <f t="shared" si="30"/>
        <v>12.200000000000001</v>
      </c>
      <c r="Y152" s="16">
        <f t="shared" si="31"/>
        <v>1.1320754716981132</v>
      </c>
      <c r="Z152" s="15">
        <f t="shared" si="32"/>
        <v>1.3811320754716983</v>
      </c>
      <c r="AA152" s="12">
        <f>X152+T152</f>
        <v>67.2</v>
      </c>
      <c r="AB152" s="15">
        <f t="shared" si="33"/>
        <v>7.6075471698113208</v>
      </c>
      <c r="AC152" s="17">
        <f t="shared" si="35"/>
        <v>0.51964120012372406</v>
      </c>
      <c r="AD152" s="23" t="s">
        <v>185</v>
      </c>
      <c r="AE152" s="8" t="s">
        <v>91</v>
      </c>
      <c r="AF152" s="14" t="s">
        <v>266</v>
      </c>
      <c r="AH152" s="14" t="s">
        <v>673</v>
      </c>
    </row>
    <row r="153" spans="1:34" s="14" customFormat="1" ht="28.8" x14ac:dyDescent="0.3">
      <c r="A153" s="19">
        <v>43951</v>
      </c>
      <c r="B153" s="14" t="s">
        <v>1148</v>
      </c>
      <c r="C153" s="14" t="s">
        <v>1149</v>
      </c>
      <c r="D153" s="14" t="s">
        <v>1150</v>
      </c>
      <c r="E153" s="14" t="s">
        <v>89</v>
      </c>
      <c r="F153" s="14" t="s">
        <v>90</v>
      </c>
      <c r="G153" s="14" t="s">
        <v>64</v>
      </c>
      <c r="H153" s="20">
        <v>17881</v>
      </c>
      <c r="I153" s="14" t="s">
        <v>39</v>
      </c>
      <c r="K153" s="21"/>
      <c r="L153" s="19">
        <v>44044</v>
      </c>
      <c r="M153" s="19">
        <v>48426</v>
      </c>
      <c r="N153" s="19"/>
      <c r="O153" s="14">
        <v>144</v>
      </c>
      <c r="P153" s="22">
        <v>6.25</v>
      </c>
      <c r="Q153" s="10">
        <v>12.25</v>
      </c>
      <c r="R153" s="10">
        <f t="shared" si="34"/>
        <v>18.5</v>
      </c>
      <c r="S153" s="15">
        <v>0.5</v>
      </c>
      <c r="T153" s="12">
        <v>45</v>
      </c>
      <c r="U153" s="10">
        <f t="shared" si="29"/>
        <v>3.75</v>
      </c>
      <c r="V153" s="26">
        <v>13</v>
      </c>
      <c r="W153" s="14" t="s">
        <v>40</v>
      </c>
      <c r="X153" s="15">
        <f t="shared" si="30"/>
        <v>20.041666666666664</v>
      </c>
      <c r="Y153" s="16">
        <f t="shared" si="31"/>
        <v>1.0833333333333333</v>
      </c>
      <c r="Z153" s="15">
        <f t="shared" si="32"/>
        <v>1.6701388888888886</v>
      </c>
      <c r="AA153" s="12">
        <f>X153+T153</f>
        <v>65.041666666666657</v>
      </c>
      <c r="AB153" s="15">
        <f t="shared" si="33"/>
        <v>5.4201388888888884</v>
      </c>
      <c r="AC153" s="17">
        <f t="shared" si="35"/>
        <v>0.86722222222222212</v>
      </c>
      <c r="AD153" s="23" t="s">
        <v>825</v>
      </c>
      <c r="AE153" s="14" t="s">
        <v>42</v>
      </c>
      <c r="AF153" s="14" t="s">
        <v>1151</v>
      </c>
      <c r="AH153" s="14" t="s">
        <v>1152</v>
      </c>
    </row>
    <row r="154" spans="1:34" s="14" customFormat="1" ht="28.8" x14ac:dyDescent="0.3">
      <c r="A154" s="19">
        <v>44473</v>
      </c>
      <c r="B154" s="14" t="s">
        <v>753</v>
      </c>
      <c r="C154" s="14" t="s">
        <v>754</v>
      </c>
      <c r="D154" s="14" t="s">
        <v>755</v>
      </c>
      <c r="E154" s="14" t="s">
        <v>62</v>
      </c>
      <c r="F154" s="14" t="s">
        <v>63</v>
      </c>
      <c r="G154" s="14" t="s">
        <v>64</v>
      </c>
      <c r="H154" s="20">
        <v>48421</v>
      </c>
      <c r="I154" s="14" t="s">
        <v>39</v>
      </c>
      <c r="K154" s="21"/>
      <c r="L154" s="19">
        <v>44470</v>
      </c>
      <c r="M154" s="19">
        <v>48852</v>
      </c>
      <c r="N154" s="19"/>
      <c r="O154" s="14">
        <v>144</v>
      </c>
      <c r="P154" s="22">
        <v>16</v>
      </c>
      <c r="Q154" s="10">
        <v>10.5</v>
      </c>
      <c r="R154" s="10">
        <f t="shared" si="34"/>
        <v>26.5</v>
      </c>
      <c r="S154" s="15">
        <v>0.5</v>
      </c>
      <c r="T154" s="12">
        <v>80</v>
      </c>
      <c r="U154" s="10">
        <f t="shared" si="29"/>
        <v>6.666666666666667</v>
      </c>
      <c r="V154" s="26">
        <v>24</v>
      </c>
      <c r="W154" s="14" t="s">
        <v>40</v>
      </c>
      <c r="X154" s="15">
        <f t="shared" si="30"/>
        <v>53</v>
      </c>
      <c r="Y154" s="16">
        <f t="shared" si="31"/>
        <v>2</v>
      </c>
      <c r="Z154" s="15">
        <f t="shared" si="32"/>
        <v>4.416666666666667</v>
      </c>
      <c r="AA154" s="12">
        <f>T154+X154</f>
        <v>133</v>
      </c>
      <c r="AB154" s="15">
        <f t="shared" si="33"/>
        <v>11.083333333333334</v>
      </c>
      <c r="AC154" s="17">
        <f t="shared" si="35"/>
        <v>0.69270833333333337</v>
      </c>
      <c r="AD154" s="23" t="s">
        <v>611</v>
      </c>
      <c r="AE154" s="8" t="s">
        <v>91</v>
      </c>
      <c r="AF154" s="14" t="s">
        <v>225</v>
      </c>
      <c r="AG154" s="14" t="s">
        <v>187</v>
      </c>
      <c r="AH154" s="14" t="s">
        <v>750</v>
      </c>
    </row>
    <row r="155" spans="1:34" s="14" customFormat="1" ht="28.8" x14ac:dyDescent="0.3">
      <c r="A155" s="19">
        <v>44582</v>
      </c>
      <c r="B155" s="14" t="s">
        <v>700</v>
      </c>
      <c r="C155" s="14" t="s">
        <v>128</v>
      </c>
      <c r="D155" s="14" t="s">
        <v>701</v>
      </c>
      <c r="E155" s="14" t="s">
        <v>103</v>
      </c>
      <c r="F155" s="14" t="s">
        <v>37</v>
      </c>
      <c r="G155" s="14" t="s">
        <v>552</v>
      </c>
      <c r="H155" s="20">
        <v>6020</v>
      </c>
      <c r="I155" s="14" t="s">
        <v>212</v>
      </c>
      <c r="K155" s="21"/>
      <c r="L155" s="19">
        <v>44256</v>
      </c>
      <c r="M155" s="19">
        <v>46173</v>
      </c>
      <c r="N155" s="19"/>
      <c r="O155" s="14">
        <v>63</v>
      </c>
      <c r="P155" s="22"/>
      <c r="Q155" s="10"/>
      <c r="R155" s="10">
        <f t="shared" si="34"/>
        <v>0</v>
      </c>
      <c r="S155" s="11">
        <v>0.03</v>
      </c>
      <c r="T155" s="12">
        <v>0</v>
      </c>
      <c r="U155" s="10">
        <f t="shared" si="29"/>
        <v>0</v>
      </c>
      <c r="V155" s="26">
        <v>5</v>
      </c>
      <c r="W155" s="14" t="s">
        <v>40</v>
      </c>
      <c r="X155" s="15">
        <f t="shared" si="30"/>
        <v>0</v>
      </c>
      <c r="Y155" s="16">
        <f t="shared" si="31"/>
        <v>0.95238095238095233</v>
      </c>
      <c r="Z155" s="15">
        <f t="shared" si="32"/>
        <v>0</v>
      </c>
      <c r="AA155" s="12">
        <f>T155+X155</f>
        <v>0</v>
      </c>
      <c r="AB155" s="15">
        <f t="shared" si="33"/>
        <v>0</v>
      </c>
      <c r="AC155" s="17" t="e">
        <f t="shared" si="35"/>
        <v>#DIV/0!</v>
      </c>
      <c r="AD155" s="23" t="s">
        <v>702</v>
      </c>
      <c r="AE155" s="14" t="s">
        <v>42</v>
      </c>
      <c r="AF155" s="14" t="s">
        <v>158</v>
      </c>
      <c r="AG155" s="14" t="s">
        <v>187</v>
      </c>
      <c r="AH155" s="14" t="s">
        <v>230</v>
      </c>
    </row>
    <row r="156" spans="1:34" s="14" customFormat="1" ht="28.8" x14ac:dyDescent="0.3">
      <c r="A156" s="19">
        <v>44966</v>
      </c>
      <c r="B156" s="14" t="s">
        <v>442</v>
      </c>
      <c r="C156" s="14" t="s">
        <v>443</v>
      </c>
      <c r="D156" s="14" t="s">
        <v>444</v>
      </c>
      <c r="E156" s="14" t="s">
        <v>62</v>
      </c>
      <c r="F156" s="14" t="s">
        <v>63</v>
      </c>
      <c r="G156" s="14" t="s">
        <v>64</v>
      </c>
      <c r="H156" s="20">
        <v>11652</v>
      </c>
      <c r="I156" s="14" t="s">
        <v>74</v>
      </c>
      <c r="K156" s="21"/>
      <c r="L156" s="19">
        <v>45108</v>
      </c>
      <c r="M156" s="19">
        <v>46295</v>
      </c>
      <c r="N156" s="19"/>
      <c r="O156" s="14">
        <v>39</v>
      </c>
      <c r="P156" s="22">
        <v>17.5</v>
      </c>
      <c r="Q156" s="10"/>
      <c r="R156" s="10">
        <f t="shared" si="34"/>
        <v>17.5</v>
      </c>
      <c r="S156" s="15">
        <v>0.5</v>
      </c>
      <c r="T156" s="12">
        <v>11</v>
      </c>
      <c r="U156" s="10">
        <f t="shared" si="29"/>
        <v>3.3846153846153846</v>
      </c>
      <c r="V156" s="26">
        <v>6</v>
      </c>
      <c r="W156" s="14" t="s">
        <v>40</v>
      </c>
      <c r="X156" s="15">
        <f t="shared" si="30"/>
        <v>8.75</v>
      </c>
      <c r="Y156" s="16">
        <f t="shared" si="31"/>
        <v>1.8461538461538463</v>
      </c>
      <c r="Z156" s="15">
        <f t="shared" si="32"/>
        <v>2.6923076923076925</v>
      </c>
      <c r="AA156" s="12">
        <f>X156+T156</f>
        <v>19.75</v>
      </c>
      <c r="AB156" s="15">
        <f t="shared" si="33"/>
        <v>6.0769230769230766</v>
      </c>
      <c r="AC156" s="17">
        <f t="shared" si="35"/>
        <v>0.34725274725274724</v>
      </c>
      <c r="AD156" s="23" t="s">
        <v>402</v>
      </c>
      <c r="AH156" s="14" t="s">
        <v>445</v>
      </c>
    </row>
    <row r="157" spans="1:34" s="14" customFormat="1" ht="28.8" x14ac:dyDescent="0.3">
      <c r="A157" s="19">
        <v>45805</v>
      </c>
      <c r="B157" s="14" t="s">
        <v>125</v>
      </c>
      <c r="C157" s="14" t="s">
        <v>122</v>
      </c>
      <c r="D157" s="14" t="s">
        <v>123</v>
      </c>
      <c r="E157" s="14" t="s">
        <v>124</v>
      </c>
      <c r="F157" s="14" t="s">
        <v>54</v>
      </c>
      <c r="G157" s="14" t="s">
        <v>55</v>
      </c>
      <c r="H157" s="25">
        <v>10928</v>
      </c>
      <c r="I157" s="14" t="s">
        <v>126</v>
      </c>
      <c r="K157" s="57"/>
      <c r="L157" s="19">
        <v>45992</v>
      </c>
      <c r="M157" s="19">
        <v>50009</v>
      </c>
      <c r="N157" s="19"/>
      <c r="O157" s="14">
        <v>132</v>
      </c>
      <c r="P157" s="12">
        <v>21.5</v>
      </c>
      <c r="Q157" s="15">
        <v>12.3</v>
      </c>
      <c r="R157" s="10">
        <f t="shared" si="34"/>
        <v>33.799999999999997</v>
      </c>
      <c r="S157" s="11">
        <v>2.5000000000000001E-2</v>
      </c>
      <c r="T157" s="12">
        <v>82</v>
      </c>
      <c r="U157" s="10">
        <f t="shared" si="29"/>
        <v>7.4545454545454541</v>
      </c>
      <c r="V157" s="13">
        <v>16</v>
      </c>
      <c r="W157" s="52" t="s">
        <v>40</v>
      </c>
      <c r="X157" s="15">
        <f t="shared" si="30"/>
        <v>45.066666666666663</v>
      </c>
      <c r="Y157" s="16">
        <f t="shared" si="31"/>
        <v>1.4545454545454546</v>
      </c>
      <c r="Z157" s="15">
        <f t="shared" si="32"/>
        <v>4.0969696969696967</v>
      </c>
      <c r="AA157" s="12">
        <f>X157+T157</f>
        <v>127.06666666666666</v>
      </c>
      <c r="AB157" s="15">
        <f t="shared" si="33"/>
        <v>11.551515151515151</v>
      </c>
      <c r="AC157" s="17">
        <f t="shared" si="35"/>
        <v>0.53727977448907682</v>
      </c>
      <c r="AD157" s="23"/>
      <c r="AH157" s="14" t="s">
        <v>93</v>
      </c>
    </row>
    <row r="158" spans="1:34" s="14" customFormat="1" ht="28.8" x14ac:dyDescent="0.3">
      <c r="A158" s="19">
        <v>44651</v>
      </c>
      <c r="B158" s="14" t="s">
        <v>658</v>
      </c>
      <c r="C158" s="14" t="s">
        <v>659</v>
      </c>
      <c r="D158" s="14" t="s">
        <v>660</v>
      </c>
      <c r="E158" s="14" t="s">
        <v>661</v>
      </c>
      <c r="F158" s="14" t="s">
        <v>90</v>
      </c>
      <c r="G158" s="14" t="s">
        <v>552</v>
      </c>
      <c r="H158" s="20">
        <v>42696</v>
      </c>
      <c r="I158" s="14" t="s">
        <v>39</v>
      </c>
      <c r="K158" s="21"/>
      <c r="L158" s="19">
        <v>44652</v>
      </c>
      <c r="M158" s="19">
        <v>48669</v>
      </c>
      <c r="N158" s="19"/>
      <c r="O158" s="14">
        <v>132</v>
      </c>
      <c r="P158" s="22">
        <v>13.25</v>
      </c>
      <c r="Q158" s="10">
        <v>9.42</v>
      </c>
      <c r="R158" s="10">
        <f t="shared" si="34"/>
        <v>22.67</v>
      </c>
      <c r="S158" s="15">
        <v>0.5</v>
      </c>
      <c r="T158" s="12">
        <v>70</v>
      </c>
      <c r="U158" s="10">
        <f t="shared" si="29"/>
        <v>6.3636363636363633</v>
      </c>
      <c r="V158" s="26">
        <v>13</v>
      </c>
      <c r="W158" s="14" t="s">
        <v>40</v>
      </c>
      <c r="X158" s="15">
        <f t="shared" si="30"/>
        <v>24.559166666666666</v>
      </c>
      <c r="Y158" s="16">
        <f t="shared" si="31"/>
        <v>1.1818181818181819</v>
      </c>
      <c r="Z158" s="15">
        <f t="shared" si="32"/>
        <v>2.2326515151515149</v>
      </c>
      <c r="AA158" s="12">
        <f>T158+X158</f>
        <v>94.55916666666667</v>
      </c>
      <c r="AB158" s="15">
        <f t="shared" si="33"/>
        <v>8.5962878787878783</v>
      </c>
      <c r="AC158" s="17">
        <f t="shared" si="35"/>
        <v>0.64877644368210396</v>
      </c>
      <c r="AD158" s="23" t="s">
        <v>662</v>
      </c>
      <c r="AE158" s="8" t="s">
        <v>91</v>
      </c>
      <c r="AF158" s="14" t="s">
        <v>663</v>
      </c>
      <c r="AH158" s="14" t="s">
        <v>441</v>
      </c>
    </row>
    <row r="159" spans="1:34" s="14" customFormat="1" ht="43.2" x14ac:dyDescent="0.3">
      <c r="A159" s="19">
        <v>44651</v>
      </c>
      <c r="B159" s="14" t="s">
        <v>653</v>
      </c>
      <c r="C159" s="14" t="s">
        <v>654</v>
      </c>
      <c r="D159" s="14" t="s">
        <v>655</v>
      </c>
      <c r="E159" s="14" t="s">
        <v>103</v>
      </c>
      <c r="F159" s="14" t="s">
        <v>37</v>
      </c>
      <c r="G159" s="14" t="s">
        <v>38</v>
      </c>
      <c r="H159" s="20">
        <v>16103</v>
      </c>
      <c r="I159" s="14" t="s">
        <v>39</v>
      </c>
      <c r="K159" s="21"/>
      <c r="L159" s="19">
        <v>44652</v>
      </c>
      <c r="M159" s="19">
        <v>46691</v>
      </c>
      <c r="N159" s="19"/>
      <c r="O159" s="14">
        <v>67</v>
      </c>
      <c r="P159" s="22">
        <v>18.8</v>
      </c>
      <c r="Q159" s="10">
        <v>7.7</v>
      </c>
      <c r="R159" s="10">
        <f t="shared" si="34"/>
        <v>26.5</v>
      </c>
      <c r="S159" s="15">
        <v>0.5</v>
      </c>
      <c r="T159" s="12">
        <v>32.5</v>
      </c>
      <c r="U159" s="10">
        <f t="shared" si="29"/>
        <v>5.8208955223880601</v>
      </c>
      <c r="V159" s="26">
        <v>7</v>
      </c>
      <c r="W159" s="14" t="s">
        <v>40</v>
      </c>
      <c r="X159" s="15">
        <f t="shared" si="30"/>
        <v>15.458333333333334</v>
      </c>
      <c r="Y159" s="16">
        <f t="shared" si="31"/>
        <v>1.2537313432835822</v>
      </c>
      <c r="Z159" s="15">
        <f t="shared" si="32"/>
        <v>2.7686567164179108</v>
      </c>
      <c r="AA159" s="12">
        <f>X159+T159</f>
        <v>47.958333333333336</v>
      </c>
      <c r="AB159" s="15">
        <f t="shared" si="33"/>
        <v>8.5895522388059717</v>
      </c>
      <c r="AC159" s="17">
        <f t="shared" si="35"/>
        <v>0.45689107653223254</v>
      </c>
      <c r="AD159" s="23" t="s">
        <v>656</v>
      </c>
      <c r="AE159" s="8" t="s">
        <v>91</v>
      </c>
      <c r="AF159" s="14" t="s">
        <v>116</v>
      </c>
      <c r="AG159" s="14" t="s">
        <v>657</v>
      </c>
      <c r="AH159" s="14" t="s">
        <v>441</v>
      </c>
    </row>
    <row r="160" spans="1:34" s="14" customFormat="1" ht="43.2" x14ac:dyDescent="0.3">
      <c r="A160" s="19">
        <v>44428</v>
      </c>
      <c r="B160" s="14" t="s">
        <v>772</v>
      </c>
      <c r="C160" s="14" t="s">
        <v>773</v>
      </c>
      <c r="D160" s="14" t="s">
        <v>774</v>
      </c>
      <c r="E160" s="14" t="s">
        <v>89</v>
      </c>
      <c r="F160" s="14" t="s">
        <v>90</v>
      </c>
      <c r="G160" s="14" t="s">
        <v>64</v>
      </c>
      <c r="H160" s="20">
        <v>12889</v>
      </c>
      <c r="I160" s="14" t="s">
        <v>39</v>
      </c>
      <c r="K160" s="21"/>
      <c r="L160" s="19">
        <v>44562</v>
      </c>
      <c r="M160" s="19">
        <v>47149</v>
      </c>
      <c r="N160" s="19"/>
      <c r="O160" s="14">
        <v>85</v>
      </c>
      <c r="P160" s="22">
        <v>10.5</v>
      </c>
      <c r="Q160" s="10">
        <v>10.33</v>
      </c>
      <c r="R160" s="10">
        <f t="shared" si="34"/>
        <v>20.83</v>
      </c>
      <c r="S160" s="15">
        <v>0.5</v>
      </c>
      <c r="T160" s="23"/>
      <c r="U160" s="10">
        <f t="shared" si="29"/>
        <v>0</v>
      </c>
      <c r="V160" s="26">
        <v>5</v>
      </c>
      <c r="W160" s="14" t="s">
        <v>40</v>
      </c>
      <c r="X160" s="15">
        <f t="shared" si="30"/>
        <v>8.6791666666666671</v>
      </c>
      <c r="Y160" s="16">
        <f t="shared" si="31"/>
        <v>0.70588235294117652</v>
      </c>
      <c r="Z160" s="15">
        <f t="shared" si="32"/>
        <v>1.2252941176470589</v>
      </c>
      <c r="AA160" s="12">
        <f>T160+X160</f>
        <v>8.6791666666666671</v>
      </c>
      <c r="AB160" s="15">
        <f t="shared" si="33"/>
        <v>1.2252941176470589</v>
      </c>
      <c r="AC160" s="17">
        <f t="shared" si="35"/>
        <v>0.11669467787114847</v>
      </c>
      <c r="AD160" s="23" t="s">
        <v>369</v>
      </c>
      <c r="AE160" s="8" t="s">
        <v>91</v>
      </c>
      <c r="AF160" s="14" t="s">
        <v>225</v>
      </c>
      <c r="AG160" s="14" t="s">
        <v>775</v>
      </c>
      <c r="AH160" s="14" t="s">
        <v>490</v>
      </c>
    </row>
    <row r="161" spans="1:34" s="14" customFormat="1" ht="43.2" x14ac:dyDescent="0.3">
      <c r="A161" s="19">
        <v>44837</v>
      </c>
      <c r="B161" s="14" t="s">
        <v>546</v>
      </c>
      <c r="C161" s="14" t="s">
        <v>462</v>
      </c>
      <c r="D161" s="14" t="s">
        <v>463</v>
      </c>
      <c r="E161" s="14" t="s">
        <v>194</v>
      </c>
      <c r="F161" s="14" t="s">
        <v>63</v>
      </c>
      <c r="G161" s="14" t="s">
        <v>547</v>
      </c>
      <c r="H161" s="20">
        <v>5774</v>
      </c>
      <c r="I161" s="14" t="s">
        <v>212</v>
      </c>
      <c r="K161" s="21"/>
      <c r="L161" s="19">
        <v>44805</v>
      </c>
      <c r="M161" s="19">
        <v>46507</v>
      </c>
      <c r="N161" s="19"/>
      <c r="O161" s="14">
        <v>56</v>
      </c>
      <c r="P161" s="22"/>
      <c r="Q161" s="10"/>
      <c r="R161" s="10">
        <f t="shared" si="34"/>
        <v>0</v>
      </c>
      <c r="S161" s="15">
        <v>0.5</v>
      </c>
      <c r="T161" s="12">
        <v>0</v>
      </c>
      <c r="U161" s="10">
        <f t="shared" si="29"/>
        <v>0</v>
      </c>
      <c r="V161" s="26">
        <v>1</v>
      </c>
      <c r="W161" s="14" t="s">
        <v>40</v>
      </c>
      <c r="X161" s="15">
        <f t="shared" si="30"/>
        <v>0</v>
      </c>
      <c r="Y161" s="16">
        <f t="shared" si="31"/>
        <v>0.21428571428571427</v>
      </c>
      <c r="Z161" s="15">
        <f t="shared" si="32"/>
        <v>0</v>
      </c>
      <c r="AA161" s="12">
        <f>X161+T161</f>
        <v>0</v>
      </c>
      <c r="AB161" s="15">
        <f t="shared" si="33"/>
        <v>0</v>
      </c>
      <c r="AC161" s="17" t="e">
        <f t="shared" si="35"/>
        <v>#DIV/0!</v>
      </c>
      <c r="AD161" s="23" t="s">
        <v>548</v>
      </c>
      <c r="AE161" s="8" t="s">
        <v>91</v>
      </c>
      <c r="AF161" s="14" t="s">
        <v>549</v>
      </c>
      <c r="AG161" s="14" t="s">
        <v>550</v>
      </c>
      <c r="AH161" s="14" t="s">
        <v>58</v>
      </c>
    </row>
    <row r="162" spans="1:34" s="14" customFormat="1" x14ac:dyDescent="0.3">
      <c r="A162" s="19">
        <v>44827</v>
      </c>
      <c r="B162" s="14" t="s">
        <v>566</v>
      </c>
      <c r="C162" s="14" t="s">
        <v>567</v>
      </c>
      <c r="D162" s="14" t="s">
        <v>568</v>
      </c>
      <c r="E162" s="14" t="s">
        <v>62</v>
      </c>
      <c r="F162" s="14" t="s">
        <v>63</v>
      </c>
      <c r="G162" s="14" t="s">
        <v>64</v>
      </c>
      <c r="H162" s="20">
        <v>56769</v>
      </c>
      <c r="I162" s="14" t="s">
        <v>39</v>
      </c>
      <c r="K162" s="21"/>
      <c r="L162" s="19">
        <v>44986</v>
      </c>
      <c r="M162" s="19">
        <v>47542</v>
      </c>
      <c r="N162" s="19"/>
      <c r="O162" s="14">
        <v>84</v>
      </c>
      <c r="P162" s="22">
        <v>16.5</v>
      </c>
      <c r="Q162" s="10">
        <v>18.809999999999999</v>
      </c>
      <c r="R162" s="10">
        <f t="shared" si="34"/>
        <v>35.31</v>
      </c>
      <c r="S162" s="15">
        <v>0.5</v>
      </c>
      <c r="T162" s="12">
        <v>25</v>
      </c>
      <c r="U162" s="10">
        <f t="shared" si="29"/>
        <v>3.5714285714285716</v>
      </c>
      <c r="V162" s="26">
        <v>5</v>
      </c>
      <c r="W162" s="14" t="s">
        <v>40</v>
      </c>
      <c r="X162" s="15">
        <f t="shared" ref="X162:X195" si="36">(V162/12)*R162</f>
        <v>14.712500000000002</v>
      </c>
      <c r="Y162" s="16">
        <f t="shared" si="31"/>
        <v>0.7142857142857143</v>
      </c>
      <c r="Z162" s="15">
        <f t="shared" ref="Z162:Z195" si="37">X162/(O162/12)</f>
        <v>2.1017857142857146</v>
      </c>
      <c r="AA162" s="12">
        <f>X162+T162</f>
        <v>39.712500000000006</v>
      </c>
      <c r="AB162" s="15">
        <f t="shared" ref="AB162:AB193" si="38">AA162/(O162/12)</f>
        <v>5.6732142857142867</v>
      </c>
      <c r="AC162" s="17">
        <f t="shared" si="35"/>
        <v>0.34383116883116888</v>
      </c>
      <c r="AD162" s="23" t="s">
        <v>402</v>
      </c>
      <c r="AE162" s="8" t="s">
        <v>91</v>
      </c>
      <c r="AF162" s="14" t="s">
        <v>569</v>
      </c>
      <c r="AH162" s="14" t="s">
        <v>570</v>
      </c>
    </row>
    <row r="163" spans="1:34" s="14" customFormat="1" x14ac:dyDescent="0.3">
      <c r="A163" s="19">
        <v>45281</v>
      </c>
      <c r="B163" s="14" t="s">
        <v>267</v>
      </c>
      <c r="C163" s="14" t="s">
        <v>60</v>
      </c>
      <c r="D163" s="14" t="s">
        <v>61</v>
      </c>
      <c r="E163" s="14" t="s">
        <v>62</v>
      </c>
      <c r="F163" s="14" t="s">
        <v>63</v>
      </c>
      <c r="G163" s="14" t="s">
        <v>64</v>
      </c>
      <c r="H163" s="27">
        <v>17837</v>
      </c>
      <c r="I163" s="14" t="s">
        <v>39</v>
      </c>
      <c r="K163" s="21"/>
      <c r="L163" s="19">
        <v>44013</v>
      </c>
      <c r="M163" s="19">
        <v>46783</v>
      </c>
      <c r="N163" s="19"/>
      <c r="O163" s="14">
        <v>91</v>
      </c>
      <c r="P163" s="12">
        <v>22</v>
      </c>
      <c r="Q163" s="15">
        <v>16.87</v>
      </c>
      <c r="R163" s="10">
        <f t="shared" si="34"/>
        <v>38.870000000000005</v>
      </c>
      <c r="S163" s="28">
        <v>0.5</v>
      </c>
      <c r="T163" s="12">
        <v>60</v>
      </c>
      <c r="U163" s="10">
        <f t="shared" si="29"/>
        <v>7.9120879120879124</v>
      </c>
      <c r="V163" s="26">
        <v>7</v>
      </c>
      <c r="W163" s="52" t="s">
        <v>40</v>
      </c>
      <c r="X163" s="15">
        <f t="shared" si="36"/>
        <v>22.674166666666672</v>
      </c>
      <c r="Y163" s="16">
        <f t="shared" si="31"/>
        <v>0.92307692307692313</v>
      </c>
      <c r="Z163" s="15">
        <f t="shared" si="37"/>
        <v>2.9900000000000007</v>
      </c>
      <c r="AA163" s="12">
        <f>X163+T163</f>
        <v>82.674166666666679</v>
      </c>
      <c r="AB163" s="15">
        <f t="shared" si="38"/>
        <v>10.902087912087914</v>
      </c>
      <c r="AC163" s="17">
        <f t="shared" si="35"/>
        <v>0.49554945054945065</v>
      </c>
      <c r="AD163" s="23"/>
    </row>
    <row r="164" spans="1:34" s="14" customFormat="1" ht="57.6" x14ac:dyDescent="0.3">
      <c r="A164" s="7">
        <v>45427</v>
      </c>
      <c r="B164" s="8" t="s">
        <v>214</v>
      </c>
      <c r="C164" s="8" t="s">
        <v>215</v>
      </c>
      <c r="D164" s="8" t="s">
        <v>106</v>
      </c>
      <c r="E164" s="8" t="s">
        <v>62</v>
      </c>
      <c r="F164" s="8" t="s">
        <v>63</v>
      </c>
      <c r="G164" s="8" t="s">
        <v>64</v>
      </c>
      <c r="H164" s="9">
        <v>53039</v>
      </c>
      <c r="I164" s="8" t="s">
        <v>39</v>
      </c>
      <c r="J164" s="8"/>
      <c r="K164" s="53">
        <v>45413</v>
      </c>
      <c r="L164" s="7">
        <v>45658</v>
      </c>
      <c r="M164" s="7">
        <v>49674</v>
      </c>
      <c r="N164" s="7"/>
      <c r="O164" s="8">
        <v>132</v>
      </c>
      <c r="P164" s="54">
        <v>21</v>
      </c>
      <c r="Q164" s="55">
        <v>16.43</v>
      </c>
      <c r="R164" s="10">
        <f t="shared" si="34"/>
        <v>37.43</v>
      </c>
      <c r="S164" s="55">
        <v>0.5</v>
      </c>
      <c r="T164" s="12">
        <v>100</v>
      </c>
      <c r="U164" s="10">
        <f t="shared" si="29"/>
        <v>9.0909090909090917</v>
      </c>
      <c r="V164" s="26">
        <v>12</v>
      </c>
      <c r="W164" s="8" t="s">
        <v>40</v>
      </c>
      <c r="X164" s="15">
        <f t="shared" si="36"/>
        <v>37.43</v>
      </c>
      <c r="Y164" s="16">
        <f t="shared" si="31"/>
        <v>1.0909090909090908</v>
      </c>
      <c r="Z164" s="15">
        <f t="shared" si="37"/>
        <v>3.4027272727272728</v>
      </c>
      <c r="AA164" s="12">
        <f>X164+T164</f>
        <v>137.43</v>
      </c>
      <c r="AB164" s="15">
        <f t="shared" si="38"/>
        <v>12.493636363636364</v>
      </c>
      <c r="AC164" s="17">
        <f t="shared" si="35"/>
        <v>0.59493506493506498</v>
      </c>
      <c r="AD164" s="18" t="s">
        <v>216</v>
      </c>
      <c r="AE164" s="8" t="s">
        <v>217</v>
      </c>
      <c r="AF164" s="8" t="s">
        <v>218</v>
      </c>
      <c r="AG164" s="8" t="s">
        <v>219</v>
      </c>
      <c r="AH164" s="8" t="s">
        <v>220</v>
      </c>
    </row>
    <row r="165" spans="1:34" s="14" customFormat="1" x14ac:dyDescent="0.3">
      <c r="A165" s="7">
        <v>45370</v>
      </c>
      <c r="B165" s="8" t="s">
        <v>241</v>
      </c>
      <c r="C165" s="8" t="s">
        <v>242</v>
      </c>
      <c r="D165" s="8" t="s">
        <v>242</v>
      </c>
      <c r="E165" s="8" t="s">
        <v>243</v>
      </c>
      <c r="F165" s="8" t="s">
        <v>37</v>
      </c>
      <c r="G165" s="8" t="s">
        <v>64</v>
      </c>
      <c r="H165" s="9">
        <v>1722</v>
      </c>
      <c r="I165" s="8" t="s">
        <v>74</v>
      </c>
      <c r="J165" s="8"/>
      <c r="K165" s="53">
        <v>45352</v>
      </c>
      <c r="L165" s="7">
        <v>45536</v>
      </c>
      <c r="M165" s="7">
        <v>46660</v>
      </c>
      <c r="N165" s="7"/>
      <c r="O165" s="8">
        <v>37</v>
      </c>
      <c r="P165" s="54">
        <v>16.25</v>
      </c>
      <c r="Q165" s="55">
        <v>17.37</v>
      </c>
      <c r="R165" s="10">
        <f t="shared" si="34"/>
        <v>33.620000000000005</v>
      </c>
      <c r="S165" s="55">
        <v>0.5</v>
      </c>
      <c r="T165" s="12">
        <v>3</v>
      </c>
      <c r="U165" s="10">
        <f t="shared" si="29"/>
        <v>0.97297297297297292</v>
      </c>
      <c r="V165" s="26">
        <v>1</v>
      </c>
      <c r="W165" s="8" t="s">
        <v>40</v>
      </c>
      <c r="X165" s="15">
        <f t="shared" si="36"/>
        <v>2.8016666666666667</v>
      </c>
      <c r="Y165" s="16">
        <f t="shared" si="31"/>
        <v>0.32432432432432429</v>
      </c>
      <c r="Z165" s="15">
        <f t="shared" si="37"/>
        <v>0.90864864864864858</v>
      </c>
      <c r="AA165" s="12">
        <f>X165+T165</f>
        <v>5.8016666666666667</v>
      </c>
      <c r="AB165" s="15">
        <f t="shared" si="38"/>
        <v>1.8816216216216215</v>
      </c>
      <c r="AC165" s="17">
        <f t="shared" si="35"/>
        <v>0.11579209979209978</v>
      </c>
      <c r="AD165" s="18" t="s">
        <v>244</v>
      </c>
      <c r="AE165" s="14" t="s">
        <v>42</v>
      </c>
      <c r="AF165" s="8" t="s">
        <v>56</v>
      </c>
      <c r="AG165" s="8"/>
      <c r="AH165" s="8" t="s">
        <v>58</v>
      </c>
    </row>
    <row r="166" spans="1:34" s="14" customFormat="1" ht="28.8" x14ac:dyDescent="0.3">
      <c r="A166" s="19">
        <v>44539</v>
      </c>
      <c r="B166" s="14" t="s">
        <v>737</v>
      </c>
      <c r="C166" s="14" t="s">
        <v>286</v>
      </c>
      <c r="D166" s="14" t="s">
        <v>738</v>
      </c>
      <c r="E166" s="14" t="s">
        <v>194</v>
      </c>
      <c r="F166" s="14" t="s">
        <v>63</v>
      </c>
      <c r="G166" s="14" t="s">
        <v>64</v>
      </c>
      <c r="H166" s="20">
        <v>8127</v>
      </c>
      <c r="I166" s="14" t="s">
        <v>39</v>
      </c>
      <c r="K166" s="21"/>
      <c r="L166" s="19">
        <v>44562</v>
      </c>
      <c r="M166" s="19">
        <v>48944</v>
      </c>
      <c r="N166" s="19"/>
      <c r="O166" s="14">
        <v>144</v>
      </c>
      <c r="P166" s="22">
        <v>21.5</v>
      </c>
      <c r="Q166" s="10">
        <v>17.13</v>
      </c>
      <c r="R166" s="10">
        <f t="shared" si="34"/>
        <v>38.629999999999995</v>
      </c>
      <c r="S166" s="15">
        <v>0.5</v>
      </c>
      <c r="T166" s="12">
        <v>80</v>
      </c>
      <c r="U166" s="10">
        <f t="shared" si="29"/>
        <v>6.666666666666667</v>
      </c>
      <c r="V166" s="26">
        <v>17</v>
      </c>
      <c r="W166" s="14" t="s">
        <v>40</v>
      </c>
      <c r="X166" s="15">
        <f t="shared" si="36"/>
        <v>54.725833333333327</v>
      </c>
      <c r="Y166" s="16">
        <f t="shared" si="31"/>
        <v>1.4166666666666667</v>
      </c>
      <c r="Z166" s="15">
        <f t="shared" si="37"/>
        <v>4.5604861111111106</v>
      </c>
      <c r="AA166" s="12">
        <f>T166+X166</f>
        <v>134.72583333333333</v>
      </c>
      <c r="AB166" s="15">
        <f t="shared" si="38"/>
        <v>11.227152777777777</v>
      </c>
      <c r="AC166" s="17">
        <f t="shared" si="35"/>
        <v>0.52219315245478026</v>
      </c>
      <c r="AD166" s="23" t="s">
        <v>734</v>
      </c>
      <c r="AE166" s="14" t="s">
        <v>538</v>
      </c>
      <c r="AF166" s="14" t="s">
        <v>739</v>
      </c>
      <c r="AH166" s="14" t="s">
        <v>736</v>
      </c>
    </row>
    <row r="167" spans="1:34" s="14" customFormat="1" x14ac:dyDescent="0.3">
      <c r="A167" s="19">
        <v>44545</v>
      </c>
      <c r="B167" s="14" t="s">
        <v>728</v>
      </c>
      <c r="C167" s="14" t="s">
        <v>729</v>
      </c>
      <c r="D167" s="14" t="s">
        <v>730</v>
      </c>
      <c r="E167" s="14" t="s">
        <v>124</v>
      </c>
      <c r="F167" s="14" t="s">
        <v>54</v>
      </c>
      <c r="G167" s="14" t="s">
        <v>55</v>
      </c>
      <c r="H167" s="20">
        <v>5633</v>
      </c>
      <c r="I167" s="14" t="s">
        <v>39</v>
      </c>
      <c r="K167" s="21">
        <v>44531</v>
      </c>
      <c r="L167" s="19">
        <v>44652</v>
      </c>
      <c r="M167" s="19">
        <v>48610</v>
      </c>
      <c r="N167" s="19"/>
      <c r="O167" s="14">
        <v>132</v>
      </c>
      <c r="P167" s="22">
        <v>20</v>
      </c>
      <c r="Q167" s="10">
        <v>11.31</v>
      </c>
      <c r="R167" s="10">
        <f t="shared" si="34"/>
        <v>31.310000000000002</v>
      </c>
      <c r="S167" s="11">
        <v>0.03</v>
      </c>
      <c r="T167" s="12">
        <v>82</v>
      </c>
      <c r="U167" s="10">
        <f t="shared" si="29"/>
        <v>7.4545454545454541</v>
      </c>
      <c r="V167" s="26">
        <v>10</v>
      </c>
      <c r="W167" s="14" t="s">
        <v>40</v>
      </c>
      <c r="X167" s="15">
        <f t="shared" si="36"/>
        <v>26.091666666666669</v>
      </c>
      <c r="Y167" s="16">
        <f t="shared" si="31"/>
        <v>0.90909090909090906</v>
      </c>
      <c r="Z167" s="15">
        <f t="shared" si="37"/>
        <v>2.3719696969696971</v>
      </c>
      <c r="AA167" s="12">
        <f t="shared" ref="AA167:AA173" si="39">X167+T167</f>
        <v>108.09166666666667</v>
      </c>
      <c r="AB167" s="15">
        <f t="shared" si="38"/>
        <v>9.8265151515151512</v>
      </c>
      <c r="AC167" s="17">
        <f t="shared" si="35"/>
        <v>0.49132575757575758</v>
      </c>
      <c r="AD167" s="23" t="s">
        <v>731</v>
      </c>
      <c r="AE167" s="8" t="s">
        <v>91</v>
      </c>
      <c r="AF167" s="14" t="s">
        <v>56</v>
      </c>
      <c r="AH167" s="14" t="s">
        <v>58</v>
      </c>
    </row>
    <row r="168" spans="1:34" s="14" customFormat="1" ht="72" x14ac:dyDescent="0.3">
      <c r="A168" s="19">
        <v>43951</v>
      </c>
      <c r="B168" s="14" t="s">
        <v>1156</v>
      </c>
      <c r="C168" s="14" t="s">
        <v>1157</v>
      </c>
      <c r="D168" s="14" t="s">
        <v>1158</v>
      </c>
      <c r="E168" s="14" t="s">
        <v>239</v>
      </c>
      <c r="F168" s="14" t="s">
        <v>37</v>
      </c>
      <c r="G168" s="14" t="s">
        <v>38</v>
      </c>
      <c r="H168" s="20">
        <v>86137</v>
      </c>
      <c r="I168" s="14" t="s">
        <v>74</v>
      </c>
      <c r="K168" s="21"/>
      <c r="L168" s="19">
        <v>44805</v>
      </c>
      <c r="M168" s="19">
        <v>48822</v>
      </c>
      <c r="N168" s="19"/>
      <c r="O168" s="14">
        <v>132</v>
      </c>
      <c r="P168" s="22">
        <v>17.21</v>
      </c>
      <c r="Q168" s="10">
        <v>10.050000000000001</v>
      </c>
      <c r="R168" s="10">
        <f t="shared" si="34"/>
        <v>27.26</v>
      </c>
      <c r="S168" s="11">
        <v>0.03</v>
      </c>
      <c r="T168" s="12">
        <v>48</v>
      </c>
      <c r="U168" s="10">
        <f t="shared" si="29"/>
        <v>4.3636363636363633</v>
      </c>
      <c r="V168" s="26">
        <v>12</v>
      </c>
      <c r="W168" s="14" t="s">
        <v>40</v>
      </c>
      <c r="X168" s="15">
        <f t="shared" si="36"/>
        <v>27.26</v>
      </c>
      <c r="Y168" s="16">
        <f t="shared" si="31"/>
        <v>1.0909090909090908</v>
      </c>
      <c r="Z168" s="15">
        <f t="shared" si="37"/>
        <v>2.4781818181818185</v>
      </c>
      <c r="AA168" s="12">
        <f t="shared" si="39"/>
        <v>75.260000000000005</v>
      </c>
      <c r="AB168" s="15">
        <f t="shared" si="38"/>
        <v>6.8418181818181827</v>
      </c>
      <c r="AC168" s="17">
        <f t="shared" si="35"/>
        <v>0.39754899371401409</v>
      </c>
      <c r="AD168" s="23" t="s">
        <v>1159</v>
      </c>
      <c r="AE168" s="14" t="s">
        <v>42</v>
      </c>
      <c r="AF168" s="14" t="s">
        <v>1160</v>
      </c>
      <c r="AG168" s="14" t="s">
        <v>1161</v>
      </c>
      <c r="AH168" s="14" t="s">
        <v>49</v>
      </c>
    </row>
    <row r="169" spans="1:34" s="14" customFormat="1" ht="28.8" x14ac:dyDescent="0.3">
      <c r="A169" s="19">
        <v>45281</v>
      </c>
      <c r="B169" s="14" t="s">
        <v>283</v>
      </c>
      <c r="C169" s="14" t="s">
        <v>215</v>
      </c>
      <c r="D169" s="8" t="s">
        <v>106</v>
      </c>
      <c r="E169" s="14" t="s">
        <v>62</v>
      </c>
      <c r="F169" s="14" t="s">
        <v>63</v>
      </c>
      <c r="G169" s="14" t="s">
        <v>64</v>
      </c>
      <c r="H169" s="27">
        <v>24920</v>
      </c>
      <c r="I169" s="14" t="s">
        <v>39</v>
      </c>
      <c r="K169" s="21"/>
      <c r="L169" s="19">
        <v>45474</v>
      </c>
      <c r="M169" s="19">
        <v>48518</v>
      </c>
      <c r="N169" s="19"/>
      <c r="O169" s="14">
        <v>100</v>
      </c>
      <c r="P169" s="12">
        <v>22</v>
      </c>
      <c r="Q169" s="15">
        <v>16.899999999999999</v>
      </c>
      <c r="R169" s="10">
        <f t="shared" si="34"/>
        <v>38.9</v>
      </c>
      <c r="S169" s="44">
        <v>0.03</v>
      </c>
      <c r="T169" s="12">
        <v>80</v>
      </c>
      <c r="U169" s="10">
        <f t="shared" si="29"/>
        <v>9.6</v>
      </c>
      <c r="V169" s="26">
        <v>4</v>
      </c>
      <c r="W169" s="52" t="s">
        <v>40</v>
      </c>
      <c r="X169" s="15">
        <f t="shared" si="36"/>
        <v>12.966666666666665</v>
      </c>
      <c r="Y169" s="16">
        <f t="shared" si="31"/>
        <v>0.48</v>
      </c>
      <c r="Z169" s="15">
        <f t="shared" si="37"/>
        <v>1.5559999999999996</v>
      </c>
      <c r="AA169" s="12">
        <f t="shared" si="39"/>
        <v>92.966666666666669</v>
      </c>
      <c r="AB169" s="15">
        <f t="shared" si="38"/>
        <v>11.155999999999999</v>
      </c>
      <c r="AC169" s="17">
        <f t="shared" si="35"/>
        <v>0.50709090909090904</v>
      </c>
      <c r="AD169" s="23"/>
    </row>
    <row r="170" spans="1:34" s="14" customFormat="1" ht="57.6" x14ac:dyDescent="0.3">
      <c r="A170" s="19">
        <v>43951</v>
      </c>
      <c r="B170" s="14" t="s">
        <v>1103</v>
      </c>
      <c r="C170" s="14" t="s">
        <v>1093</v>
      </c>
      <c r="D170" s="14" t="s">
        <v>1094</v>
      </c>
      <c r="E170" s="14" t="s">
        <v>103</v>
      </c>
      <c r="F170" s="14" t="s">
        <v>37</v>
      </c>
      <c r="G170" s="14" t="s">
        <v>38</v>
      </c>
      <c r="H170" s="20">
        <v>72547</v>
      </c>
      <c r="I170" s="14" t="s">
        <v>488</v>
      </c>
      <c r="K170" s="21"/>
      <c r="L170" s="19">
        <v>43770</v>
      </c>
      <c r="M170" s="19">
        <v>47907</v>
      </c>
      <c r="N170" s="19"/>
      <c r="O170" s="14">
        <v>136</v>
      </c>
      <c r="P170" s="22">
        <v>18.5</v>
      </c>
      <c r="Q170" s="10">
        <v>14.98</v>
      </c>
      <c r="R170" s="10">
        <f t="shared" si="34"/>
        <v>33.480000000000004</v>
      </c>
      <c r="S170" s="15">
        <v>0.5</v>
      </c>
      <c r="T170" s="23" t="s">
        <v>1104</v>
      </c>
      <c r="U170" s="10" t="e">
        <f t="shared" si="29"/>
        <v>#VALUE!</v>
      </c>
      <c r="V170" s="26">
        <v>6</v>
      </c>
      <c r="W170" s="14" t="s">
        <v>40</v>
      </c>
      <c r="X170" s="15">
        <f t="shared" si="36"/>
        <v>16.740000000000002</v>
      </c>
      <c r="Y170" s="16">
        <f t="shared" si="31"/>
        <v>0.52941176470588236</v>
      </c>
      <c r="Z170" s="15">
        <f t="shared" si="37"/>
        <v>1.4770588235294118</v>
      </c>
      <c r="AA170" s="12" t="e">
        <f t="shared" si="39"/>
        <v>#VALUE!</v>
      </c>
      <c r="AB170" s="15"/>
      <c r="AC170" s="17">
        <f t="shared" si="35"/>
        <v>0</v>
      </c>
      <c r="AD170" s="23" t="s">
        <v>699</v>
      </c>
      <c r="AE170" s="14" t="s">
        <v>149</v>
      </c>
      <c r="AF170" s="14" t="s">
        <v>1105</v>
      </c>
      <c r="AG170" s="14" t="s">
        <v>1106</v>
      </c>
      <c r="AH170" s="14" t="s">
        <v>1038</v>
      </c>
    </row>
    <row r="171" spans="1:34" s="14" customFormat="1" ht="28.8" x14ac:dyDescent="0.3">
      <c r="A171" s="19">
        <v>43963</v>
      </c>
      <c r="B171" s="14" t="s">
        <v>932</v>
      </c>
      <c r="C171" s="14" t="s">
        <v>895</v>
      </c>
      <c r="D171" s="14" t="s">
        <v>896</v>
      </c>
      <c r="E171" s="14" t="s">
        <v>120</v>
      </c>
      <c r="F171" s="14" t="s">
        <v>90</v>
      </c>
      <c r="G171" s="14" t="s">
        <v>55</v>
      </c>
      <c r="H171" s="20">
        <v>11913</v>
      </c>
      <c r="I171" s="14" t="s">
        <v>39</v>
      </c>
      <c r="K171" s="50"/>
      <c r="L171" s="19">
        <v>44105</v>
      </c>
      <c r="M171" s="19">
        <v>46081</v>
      </c>
      <c r="N171" s="51"/>
      <c r="O171" s="14">
        <v>65</v>
      </c>
      <c r="P171" s="22">
        <v>9.75</v>
      </c>
      <c r="Q171" s="10">
        <v>5.93</v>
      </c>
      <c r="R171" s="10">
        <f t="shared" si="34"/>
        <v>15.68</v>
      </c>
      <c r="S171" s="15">
        <v>0.5</v>
      </c>
      <c r="T171" s="12">
        <v>30</v>
      </c>
      <c r="U171" s="10">
        <f t="shared" si="29"/>
        <v>5.5384615384615383</v>
      </c>
      <c r="V171" s="26">
        <v>5</v>
      </c>
      <c r="W171" s="14" t="s">
        <v>40</v>
      </c>
      <c r="X171" s="15">
        <f t="shared" si="36"/>
        <v>6.5333333333333332</v>
      </c>
      <c r="Y171" s="16">
        <f t="shared" si="31"/>
        <v>0.92307692307692302</v>
      </c>
      <c r="Z171" s="15">
        <f t="shared" si="37"/>
        <v>1.2061538461538461</v>
      </c>
      <c r="AA171" s="12">
        <f t="shared" si="39"/>
        <v>36.533333333333331</v>
      </c>
      <c r="AB171" s="15">
        <f t="shared" ref="AB171:AB195" si="40">AA171/(O171/12)</f>
        <v>6.7446153846153836</v>
      </c>
      <c r="AC171" s="17">
        <f t="shared" si="35"/>
        <v>0.6917554240631163</v>
      </c>
      <c r="AD171" s="23" t="s">
        <v>603</v>
      </c>
      <c r="AE171" s="8" t="s">
        <v>91</v>
      </c>
      <c r="AF171" s="14" t="s">
        <v>225</v>
      </c>
    </row>
    <row r="172" spans="1:34" s="14" customFormat="1" ht="28.8" x14ac:dyDescent="0.3">
      <c r="A172" s="19">
        <v>44322</v>
      </c>
      <c r="B172" s="14" t="s">
        <v>798</v>
      </c>
      <c r="C172" s="14" t="s">
        <v>799</v>
      </c>
      <c r="D172" s="14" t="s">
        <v>423</v>
      </c>
      <c r="E172" s="14" t="s">
        <v>89</v>
      </c>
      <c r="F172" s="14" t="s">
        <v>90</v>
      </c>
      <c r="G172" s="14" t="s">
        <v>64</v>
      </c>
      <c r="H172" s="20">
        <v>15438</v>
      </c>
      <c r="I172" s="14" t="s">
        <v>74</v>
      </c>
      <c r="K172" s="21"/>
      <c r="L172" s="19">
        <v>44348</v>
      </c>
      <c r="M172" s="19">
        <v>46538</v>
      </c>
      <c r="N172" s="19"/>
      <c r="O172" s="14">
        <v>72</v>
      </c>
      <c r="P172" s="22">
        <v>16.5</v>
      </c>
      <c r="Q172" s="10">
        <v>12.54</v>
      </c>
      <c r="R172" s="10">
        <f t="shared" si="34"/>
        <v>29.04</v>
      </c>
      <c r="S172" s="15">
        <v>0.5</v>
      </c>
      <c r="T172" s="12">
        <v>2.5</v>
      </c>
      <c r="U172" s="10">
        <f t="shared" si="29"/>
        <v>0.41666666666666669</v>
      </c>
      <c r="V172" s="26">
        <v>8</v>
      </c>
      <c r="W172" s="14" t="s">
        <v>40</v>
      </c>
      <c r="X172" s="15">
        <f t="shared" si="36"/>
        <v>19.36</v>
      </c>
      <c r="Y172" s="16">
        <f t="shared" si="31"/>
        <v>1.3333333333333333</v>
      </c>
      <c r="Z172" s="15">
        <f t="shared" si="37"/>
        <v>3.2266666666666666</v>
      </c>
      <c r="AA172" s="12">
        <f t="shared" si="39"/>
        <v>21.86</v>
      </c>
      <c r="AB172" s="15">
        <f t="shared" si="40"/>
        <v>3.6433333333333331</v>
      </c>
      <c r="AC172" s="17">
        <f t="shared" si="35"/>
        <v>0.22080808080808079</v>
      </c>
      <c r="AD172" s="23" t="s">
        <v>424</v>
      </c>
      <c r="AE172" s="14" t="s">
        <v>186</v>
      </c>
      <c r="AH172" s="14" t="s">
        <v>800</v>
      </c>
    </row>
    <row r="173" spans="1:34" s="14" customFormat="1" x14ac:dyDescent="0.3">
      <c r="A173" s="19">
        <v>45184</v>
      </c>
      <c r="B173" s="14" t="s">
        <v>333</v>
      </c>
      <c r="C173" s="14" t="s">
        <v>334</v>
      </c>
      <c r="D173" s="14" t="s">
        <v>335</v>
      </c>
      <c r="E173" s="14" t="s">
        <v>336</v>
      </c>
      <c r="F173" s="14" t="s">
        <v>63</v>
      </c>
      <c r="G173" s="14" t="s">
        <v>64</v>
      </c>
      <c r="H173" s="20">
        <v>4818</v>
      </c>
      <c r="I173" s="14" t="s">
        <v>74</v>
      </c>
      <c r="K173" s="21">
        <v>45170</v>
      </c>
      <c r="L173" s="19">
        <v>45323</v>
      </c>
      <c r="M173" s="19">
        <v>46538</v>
      </c>
      <c r="N173" s="19"/>
      <c r="O173" s="14">
        <v>40</v>
      </c>
      <c r="P173" s="22"/>
      <c r="Q173" s="10"/>
      <c r="R173" s="10">
        <v>20</v>
      </c>
      <c r="S173" s="15">
        <v>0.5</v>
      </c>
      <c r="T173" s="12">
        <v>0</v>
      </c>
      <c r="U173" s="10">
        <f t="shared" si="29"/>
        <v>0</v>
      </c>
      <c r="V173" s="26">
        <v>4</v>
      </c>
      <c r="W173" s="14" t="s">
        <v>337</v>
      </c>
      <c r="X173" s="15">
        <f t="shared" si="36"/>
        <v>6.6666666666666661</v>
      </c>
      <c r="Y173" s="16">
        <f t="shared" si="31"/>
        <v>1.2</v>
      </c>
      <c r="Z173" s="15">
        <f t="shared" si="37"/>
        <v>1.9999999999999998</v>
      </c>
      <c r="AA173" s="12">
        <f t="shared" si="39"/>
        <v>6.6666666666666661</v>
      </c>
      <c r="AB173" s="15">
        <f t="shared" si="40"/>
        <v>1.9999999999999998</v>
      </c>
      <c r="AC173" s="17"/>
      <c r="AD173" s="23" t="s">
        <v>338</v>
      </c>
      <c r="AE173" s="14" t="s">
        <v>42</v>
      </c>
      <c r="AF173" s="14" t="s">
        <v>56</v>
      </c>
      <c r="AG173" s="14" t="s">
        <v>339</v>
      </c>
      <c r="AH173" s="14" t="s">
        <v>58</v>
      </c>
    </row>
    <row r="174" spans="1:34" s="14" customFormat="1" ht="28.8" x14ac:dyDescent="0.3">
      <c r="A174" s="19">
        <v>44118</v>
      </c>
      <c r="B174" s="14" t="s">
        <v>893</v>
      </c>
      <c r="C174" s="14" t="s">
        <v>147</v>
      </c>
      <c r="D174" s="14" t="s">
        <v>378</v>
      </c>
      <c r="E174" s="14" t="s">
        <v>89</v>
      </c>
      <c r="F174" s="14" t="s">
        <v>90</v>
      </c>
      <c r="G174" s="14" t="s">
        <v>64</v>
      </c>
      <c r="H174" s="20">
        <v>3868</v>
      </c>
      <c r="I174" s="14" t="s">
        <v>39</v>
      </c>
      <c r="K174" s="21"/>
      <c r="L174" s="19">
        <v>44075</v>
      </c>
      <c r="M174" s="19">
        <v>46446</v>
      </c>
      <c r="N174" s="19"/>
      <c r="O174" s="14">
        <v>78</v>
      </c>
      <c r="P174" s="22">
        <v>13</v>
      </c>
      <c r="Q174" s="10">
        <v>12.19</v>
      </c>
      <c r="R174" s="10">
        <f t="shared" ref="R174:R179" si="41">P174+Q174</f>
        <v>25.189999999999998</v>
      </c>
      <c r="S174" s="15">
        <v>0.5</v>
      </c>
      <c r="T174" s="12">
        <v>30</v>
      </c>
      <c r="U174" s="10">
        <f t="shared" si="29"/>
        <v>4.615384615384615</v>
      </c>
      <c r="V174" s="26">
        <v>6</v>
      </c>
      <c r="W174" s="14" t="s">
        <v>40</v>
      </c>
      <c r="X174" s="15">
        <f t="shared" si="36"/>
        <v>12.594999999999999</v>
      </c>
      <c r="Y174" s="16">
        <f t="shared" si="31"/>
        <v>0.92307692307692313</v>
      </c>
      <c r="Z174" s="15">
        <f t="shared" si="37"/>
        <v>1.9376923076923076</v>
      </c>
      <c r="AA174" s="12">
        <f>T174+X174</f>
        <v>42.594999999999999</v>
      </c>
      <c r="AB174" s="15">
        <f t="shared" si="40"/>
        <v>6.5530769230769232</v>
      </c>
      <c r="AC174" s="17">
        <f t="shared" ref="AC174:AC195" si="42">AB174/P174</f>
        <v>0.50408284023668637</v>
      </c>
      <c r="AD174" s="23" t="s">
        <v>379</v>
      </c>
      <c r="AH174" s="14" t="s">
        <v>230</v>
      </c>
    </row>
    <row r="175" spans="1:34" s="14" customFormat="1" ht="28.8" x14ac:dyDescent="0.3">
      <c r="A175" s="19">
        <v>45358</v>
      </c>
      <c r="B175" s="14" t="s">
        <v>249</v>
      </c>
      <c r="C175" s="14" t="s">
        <v>250</v>
      </c>
      <c r="D175" s="14" t="s">
        <v>251</v>
      </c>
      <c r="E175" s="14" t="s">
        <v>79</v>
      </c>
      <c r="F175" s="14" t="s">
        <v>37</v>
      </c>
      <c r="G175" s="14" t="s">
        <v>38</v>
      </c>
      <c r="H175" s="20">
        <v>5326</v>
      </c>
      <c r="I175" s="14" t="s">
        <v>39</v>
      </c>
      <c r="K175" s="21">
        <v>45352</v>
      </c>
      <c r="L175" s="19">
        <v>45413</v>
      </c>
      <c r="M175" s="19">
        <v>46660</v>
      </c>
      <c r="N175" s="19"/>
      <c r="O175" s="14">
        <v>41</v>
      </c>
      <c r="P175" s="22">
        <v>15</v>
      </c>
      <c r="Q175" s="10">
        <v>10.8</v>
      </c>
      <c r="R175" s="10">
        <f t="shared" si="41"/>
        <v>25.8</v>
      </c>
      <c r="S175" s="15">
        <v>0.5</v>
      </c>
      <c r="T175" s="12">
        <v>10</v>
      </c>
      <c r="U175" s="10">
        <f t="shared" si="29"/>
        <v>2.9268292682926829</v>
      </c>
      <c r="V175" s="26">
        <v>5</v>
      </c>
      <c r="W175" s="14" t="s">
        <v>40</v>
      </c>
      <c r="X175" s="15">
        <f t="shared" si="36"/>
        <v>10.75</v>
      </c>
      <c r="Y175" s="16">
        <f t="shared" si="31"/>
        <v>1.4634146341463414</v>
      </c>
      <c r="Z175" s="15">
        <f t="shared" si="37"/>
        <v>3.1463414634146343</v>
      </c>
      <c r="AA175" s="12">
        <f>X175+T175</f>
        <v>20.75</v>
      </c>
      <c r="AB175" s="15">
        <f t="shared" si="40"/>
        <v>6.0731707317073171</v>
      </c>
      <c r="AC175" s="17">
        <f t="shared" si="42"/>
        <v>0.40487804878048783</v>
      </c>
      <c r="AD175" s="23" t="s">
        <v>252</v>
      </c>
      <c r="AE175" s="14" t="s">
        <v>42</v>
      </c>
      <c r="AF175" s="14" t="s">
        <v>56</v>
      </c>
      <c r="AG175" s="14" t="s">
        <v>253</v>
      </c>
      <c r="AH175" s="14" t="s">
        <v>58</v>
      </c>
    </row>
    <row r="176" spans="1:34" s="14" customFormat="1" ht="72" x14ac:dyDescent="0.3">
      <c r="A176" s="19">
        <v>44935</v>
      </c>
      <c r="B176" s="14" t="s">
        <v>477</v>
      </c>
      <c r="C176" s="14" t="s">
        <v>478</v>
      </c>
      <c r="D176" s="14" t="s">
        <v>479</v>
      </c>
      <c r="E176" s="14" t="s">
        <v>97</v>
      </c>
      <c r="F176" s="14" t="s">
        <v>97</v>
      </c>
      <c r="G176" s="14" t="s">
        <v>64</v>
      </c>
      <c r="H176" s="20">
        <v>11658</v>
      </c>
      <c r="I176" s="14" t="s">
        <v>39</v>
      </c>
      <c r="K176" s="21"/>
      <c r="L176" s="19">
        <v>44866</v>
      </c>
      <c r="M176" s="19">
        <v>47634</v>
      </c>
      <c r="N176" s="19"/>
      <c r="O176" s="14">
        <v>91</v>
      </c>
      <c r="P176" s="22">
        <v>21.09</v>
      </c>
      <c r="Q176" s="10">
        <v>21.91</v>
      </c>
      <c r="R176" s="10">
        <f t="shared" si="41"/>
        <v>43</v>
      </c>
      <c r="S176" s="15">
        <v>0.5</v>
      </c>
      <c r="T176" s="12">
        <v>45</v>
      </c>
      <c r="U176" s="10">
        <f t="shared" si="29"/>
        <v>5.9340659340659343</v>
      </c>
      <c r="V176" s="26">
        <v>7</v>
      </c>
      <c r="W176" s="14" t="s">
        <v>40</v>
      </c>
      <c r="X176" s="15">
        <f t="shared" si="36"/>
        <v>25.083333333333336</v>
      </c>
      <c r="Y176" s="16">
        <f t="shared" si="31"/>
        <v>0.92307692307692313</v>
      </c>
      <c r="Z176" s="15">
        <f t="shared" si="37"/>
        <v>3.3076923076923079</v>
      </c>
      <c r="AA176" s="12">
        <f>X176+T176</f>
        <v>70.083333333333343</v>
      </c>
      <c r="AB176" s="15">
        <f t="shared" si="40"/>
        <v>9.2417582417582427</v>
      </c>
      <c r="AC176" s="17">
        <f t="shared" si="42"/>
        <v>0.43820570136359616</v>
      </c>
      <c r="AD176" s="23" t="s">
        <v>480</v>
      </c>
      <c r="AE176" s="14" t="s">
        <v>288</v>
      </c>
      <c r="AF176" s="14" t="s">
        <v>481</v>
      </c>
      <c r="AG176" s="14" t="s">
        <v>482</v>
      </c>
      <c r="AH176" s="14" t="s">
        <v>445</v>
      </c>
    </row>
    <row r="177" spans="1:34" s="14" customFormat="1" x14ac:dyDescent="0.3">
      <c r="A177" s="19">
        <v>45281</v>
      </c>
      <c r="B177" s="14" t="s">
        <v>270</v>
      </c>
      <c r="C177" s="14" t="s">
        <v>271</v>
      </c>
      <c r="D177" s="14" t="s">
        <v>272</v>
      </c>
      <c r="E177" s="14" t="s">
        <v>62</v>
      </c>
      <c r="F177" s="14" t="s">
        <v>63</v>
      </c>
      <c r="G177" s="14" t="s">
        <v>64</v>
      </c>
      <c r="H177" s="27">
        <v>26300</v>
      </c>
      <c r="I177" s="19" t="s">
        <v>74</v>
      </c>
      <c r="J177" s="19"/>
      <c r="K177" s="21"/>
      <c r="L177" s="19">
        <v>45261</v>
      </c>
      <c r="M177" s="19">
        <v>47269</v>
      </c>
      <c r="N177" s="19"/>
      <c r="O177" s="14">
        <v>66</v>
      </c>
      <c r="P177" s="12">
        <v>19.25</v>
      </c>
      <c r="Q177" s="15">
        <v>17.72</v>
      </c>
      <c r="R177" s="10">
        <f t="shared" si="41"/>
        <v>36.97</v>
      </c>
      <c r="S177" s="43">
        <v>0.03</v>
      </c>
      <c r="T177" s="12">
        <v>30</v>
      </c>
      <c r="U177" s="10">
        <f t="shared" si="29"/>
        <v>5.4545454545454541</v>
      </c>
      <c r="V177" s="26">
        <f>0.76*(P177/R177)*6+0.24*11</f>
        <v>5.0143575872328912</v>
      </c>
      <c r="W177" s="52" t="s">
        <v>40</v>
      </c>
      <c r="X177" s="15">
        <f t="shared" si="36"/>
        <v>15.448399999999998</v>
      </c>
      <c r="Y177" s="16">
        <f t="shared" si="31"/>
        <v>0.91170137949688934</v>
      </c>
      <c r="Z177" s="15">
        <f t="shared" si="37"/>
        <v>2.8087999999999997</v>
      </c>
      <c r="AA177" s="12">
        <f>X177+T177</f>
        <v>45.448399999999999</v>
      </c>
      <c r="AB177" s="15">
        <f t="shared" si="40"/>
        <v>8.2633454545454548</v>
      </c>
      <c r="AC177" s="17">
        <f t="shared" si="42"/>
        <v>0.42926469893742625</v>
      </c>
      <c r="AD177" s="23"/>
    </row>
    <row r="178" spans="1:34" s="14" customFormat="1" ht="57.6" x14ac:dyDescent="0.3">
      <c r="A178" s="19">
        <v>44417</v>
      </c>
      <c r="B178" s="14" t="s">
        <v>776</v>
      </c>
      <c r="C178" s="14" t="s">
        <v>128</v>
      </c>
      <c r="D178" s="14" t="s">
        <v>701</v>
      </c>
      <c r="E178" s="14" t="s">
        <v>103</v>
      </c>
      <c r="F178" s="14" t="s">
        <v>37</v>
      </c>
      <c r="G178" s="14" t="s">
        <v>38</v>
      </c>
      <c r="H178" s="20">
        <v>17087</v>
      </c>
      <c r="I178" s="14" t="s">
        <v>39</v>
      </c>
      <c r="K178" s="21"/>
      <c r="L178" s="19">
        <v>44986</v>
      </c>
      <c r="M178" s="19">
        <v>47026</v>
      </c>
      <c r="N178" s="19"/>
      <c r="O178" s="14">
        <v>67</v>
      </c>
      <c r="P178" s="22">
        <v>23.9</v>
      </c>
      <c r="Q178" s="10">
        <v>12.26</v>
      </c>
      <c r="R178" s="10">
        <f t="shared" si="41"/>
        <v>36.159999999999997</v>
      </c>
      <c r="S178" s="11">
        <v>2.5000000000000001E-2</v>
      </c>
      <c r="T178" s="12">
        <v>30</v>
      </c>
      <c r="U178" s="10">
        <f t="shared" si="29"/>
        <v>5.3731343283582094</v>
      </c>
      <c r="V178" s="26">
        <v>7</v>
      </c>
      <c r="W178" s="14" t="s">
        <v>169</v>
      </c>
      <c r="X178" s="15">
        <f t="shared" si="36"/>
        <v>21.093333333333334</v>
      </c>
      <c r="Y178" s="16">
        <f t="shared" si="31"/>
        <v>1.2537313432835822</v>
      </c>
      <c r="Z178" s="15">
        <f t="shared" si="37"/>
        <v>3.7779104477611942</v>
      </c>
      <c r="AA178" s="12">
        <f>T178+X178</f>
        <v>51.093333333333334</v>
      </c>
      <c r="AB178" s="15">
        <f t="shared" si="40"/>
        <v>9.151044776119404</v>
      </c>
      <c r="AC178" s="17">
        <f t="shared" si="42"/>
        <v>0.38288890276650228</v>
      </c>
      <c r="AD178" s="23" t="s">
        <v>777</v>
      </c>
      <c r="AE178" s="14" t="s">
        <v>778</v>
      </c>
      <c r="AF178" s="14" t="s">
        <v>779</v>
      </c>
      <c r="AG178" s="14" t="s">
        <v>780</v>
      </c>
      <c r="AH178" s="14" t="s">
        <v>230</v>
      </c>
    </row>
    <row r="179" spans="1:34" s="14" customFormat="1" ht="28.8" x14ac:dyDescent="0.3">
      <c r="A179" s="19">
        <v>45796</v>
      </c>
      <c r="B179" s="14" t="s">
        <v>141</v>
      </c>
      <c r="C179" s="14" t="s">
        <v>142</v>
      </c>
      <c r="D179" s="14" t="s">
        <v>143</v>
      </c>
      <c r="E179" s="14" t="s">
        <v>144</v>
      </c>
      <c r="F179" s="14" t="s">
        <v>37</v>
      </c>
      <c r="G179" s="14" t="s">
        <v>64</v>
      </c>
      <c r="H179" s="25">
        <v>215000</v>
      </c>
      <c r="I179" s="14" t="s">
        <v>39</v>
      </c>
      <c r="K179" s="57"/>
      <c r="L179" s="19">
        <v>45689</v>
      </c>
      <c r="M179" s="19">
        <v>49705</v>
      </c>
      <c r="N179" s="19"/>
      <c r="O179" s="14">
        <v>132</v>
      </c>
      <c r="P179" s="12">
        <v>20.5</v>
      </c>
      <c r="Q179" s="15">
        <v>18.86</v>
      </c>
      <c r="R179" s="10">
        <f t="shared" si="41"/>
        <v>39.36</v>
      </c>
      <c r="S179" s="15">
        <v>0.5</v>
      </c>
      <c r="T179" s="12">
        <v>90</v>
      </c>
      <c r="U179" s="10">
        <f t="shared" si="29"/>
        <v>8.1818181818181817</v>
      </c>
      <c r="V179" s="13">
        <v>6</v>
      </c>
      <c r="W179" s="52" t="s">
        <v>40</v>
      </c>
      <c r="X179" s="15">
        <f t="shared" si="36"/>
        <v>19.68</v>
      </c>
      <c r="Y179" s="16">
        <f t="shared" si="31"/>
        <v>0.54545454545454541</v>
      </c>
      <c r="Z179" s="15">
        <f t="shared" si="37"/>
        <v>1.7890909090909091</v>
      </c>
      <c r="AA179" s="12">
        <f>X179+T179</f>
        <v>109.68</v>
      </c>
      <c r="AB179" s="15">
        <f t="shared" si="40"/>
        <v>9.9709090909090907</v>
      </c>
      <c r="AC179" s="17">
        <f t="shared" si="42"/>
        <v>0.48638580931263858</v>
      </c>
      <c r="AD179" s="23" t="s">
        <v>145</v>
      </c>
      <c r="AH179" s="14" t="s">
        <v>49</v>
      </c>
    </row>
    <row r="180" spans="1:34" s="14" customFormat="1" x14ac:dyDescent="0.3">
      <c r="A180" s="7">
        <v>45468</v>
      </c>
      <c r="B180" s="8" t="s">
        <v>202</v>
      </c>
      <c r="C180" s="8" t="s">
        <v>95</v>
      </c>
      <c r="D180" s="8" t="s">
        <v>96</v>
      </c>
      <c r="E180" s="8" t="s">
        <v>112</v>
      </c>
      <c r="F180" s="8" t="s">
        <v>97</v>
      </c>
      <c r="G180" s="8" t="s">
        <v>203</v>
      </c>
      <c r="H180" s="9">
        <v>6709</v>
      </c>
      <c r="I180" s="8" t="s">
        <v>177</v>
      </c>
      <c r="J180" s="8"/>
      <c r="K180" s="8"/>
      <c r="L180" s="7">
        <v>45597</v>
      </c>
      <c r="M180" s="7">
        <v>47603</v>
      </c>
      <c r="N180" s="7"/>
      <c r="O180" s="8">
        <v>66</v>
      </c>
      <c r="P180" s="54">
        <v>21</v>
      </c>
      <c r="Q180" s="55">
        <v>19.5</v>
      </c>
      <c r="R180" s="8"/>
      <c r="S180" s="55">
        <v>0.5</v>
      </c>
      <c r="T180" s="12">
        <v>46.9</v>
      </c>
      <c r="U180" s="10">
        <f t="shared" si="29"/>
        <v>8.5272727272727273</v>
      </c>
      <c r="V180" s="26">
        <v>6</v>
      </c>
      <c r="W180" s="8" t="s">
        <v>40</v>
      </c>
      <c r="X180" s="15">
        <f t="shared" si="36"/>
        <v>0</v>
      </c>
      <c r="Y180" s="16">
        <f t="shared" si="31"/>
        <v>1.0909090909090908</v>
      </c>
      <c r="Z180" s="15">
        <f t="shared" si="37"/>
        <v>0</v>
      </c>
      <c r="AA180" s="12">
        <f>T180+X180</f>
        <v>46.9</v>
      </c>
      <c r="AB180" s="15">
        <f t="shared" si="40"/>
        <v>8.5272727272727273</v>
      </c>
      <c r="AC180" s="17">
        <f t="shared" si="42"/>
        <v>0.40606060606060607</v>
      </c>
      <c r="AD180" s="18"/>
      <c r="AE180" s="8" t="s">
        <v>91</v>
      </c>
      <c r="AF180" s="8" t="s">
        <v>204</v>
      </c>
      <c r="AG180" s="8"/>
      <c r="AH180" s="8"/>
    </row>
    <row r="181" spans="1:34" s="14" customFormat="1" ht="28.8" x14ac:dyDescent="0.3">
      <c r="A181" s="19">
        <v>44102</v>
      </c>
      <c r="B181" s="14" t="s">
        <v>900</v>
      </c>
      <c r="C181" s="14" t="s">
        <v>901</v>
      </c>
      <c r="D181" s="14" t="s">
        <v>902</v>
      </c>
      <c r="E181" s="14" t="s">
        <v>194</v>
      </c>
      <c r="F181" s="14" t="s">
        <v>63</v>
      </c>
      <c r="G181" s="14" t="s">
        <v>64</v>
      </c>
      <c r="H181" s="20">
        <v>19515</v>
      </c>
      <c r="I181" s="14" t="s">
        <v>74</v>
      </c>
      <c r="K181" s="21"/>
      <c r="L181" s="19">
        <v>44287</v>
      </c>
      <c r="M181" s="19">
        <v>47118</v>
      </c>
      <c r="N181" s="19"/>
      <c r="O181" s="14">
        <v>93</v>
      </c>
      <c r="P181" s="22">
        <v>22</v>
      </c>
      <c r="Q181" s="10">
        <v>16.7</v>
      </c>
      <c r="R181" s="10">
        <f t="shared" ref="R181:R191" si="43">P181+Q181</f>
        <v>38.700000000000003</v>
      </c>
      <c r="S181" s="11">
        <v>2.5000000000000001E-2</v>
      </c>
      <c r="T181" s="12">
        <v>30</v>
      </c>
      <c r="U181" s="10">
        <f t="shared" si="29"/>
        <v>3.870967741935484</v>
      </c>
      <c r="V181" s="26">
        <v>9</v>
      </c>
      <c r="W181" s="14" t="s">
        <v>40</v>
      </c>
      <c r="X181" s="15">
        <f t="shared" si="36"/>
        <v>29.025000000000002</v>
      </c>
      <c r="Y181" s="16">
        <f t="shared" si="31"/>
        <v>1.1612903225806452</v>
      </c>
      <c r="Z181" s="15">
        <f t="shared" si="37"/>
        <v>3.745161290322581</v>
      </c>
      <c r="AA181" s="12">
        <f>T181+X181</f>
        <v>59.025000000000006</v>
      </c>
      <c r="AB181" s="15">
        <f t="shared" si="40"/>
        <v>7.6161290322580655</v>
      </c>
      <c r="AC181" s="17">
        <f t="shared" si="42"/>
        <v>0.34618768328445754</v>
      </c>
      <c r="AD181" s="23" t="s">
        <v>903</v>
      </c>
      <c r="AG181" s="14" t="s">
        <v>904</v>
      </c>
      <c r="AH181" s="14" t="s">
        <v>490</v>
      </c>
    </row>
    <row r="182" spans="1:34" s="14" customFormat="1" ht="43.2" x14ac:dyDescent="0.3">
      <c r="A182" s="19">
        <v>44837</v>
      </c>
      <c r="B182" s="14" t="s">
        <v>551</v>
      </c>
      <c r="C182" s="14" t="s">
        <v>34</v>
      </c>
      <c r="D182" s="14" t="s">
        <v>35</v>
      </c>
      <c r="E182" s="14" t="s">
        <v>36</v>
      </c>
      <c r="F182" s="14" t="s">
        <v>37</v>
      </c>
      <c r="G182" s="14" t="s">
        <v>552</v>
      </c>
      <c r="H182" s="20">
        <v>10337</v>
      </c>
      <c r="I182" s="14" t="s">
        <v>39</v>
      </c>
      <c r="K182" s="21"/>
      <c r="L182" s="19">
        <v>44958</v>
      </c>
      <c r="M182" s="19">
        <v>47726</v>
      </c>
      <c r="N182" s="19"/>
      <c r="O182" s="14">
        <v>91</v>
      </c>
      <c r="P182" s="22">
        <v>18</v>
      </c>
      <c r="Q182" s="10">
        <v>10.36</v>
      </c>
      <c r="R182" s="10">
        <f t="shared" si="43"/>
        <v>28.36</v>
      </c>
      <c r="S182" s="11">
        <v>0.03</v>
      </c>
      <c r="T182" s="12">
        <v>64</v>
      </c>
      <c r="U182" s="10">
        <f t="shared" si="29"/>
        <v>8.4395604395604398</v>
      </c>
      <c r="V182" s="26">
        <v>7</v>
      </c>
      <c r="W182" s="14" t="s">
        <v>40</v>
      </c>
      <c r="X182" s="15">
        <f t="shared" si="36"/>
        <v>16.543333333333333</v>
      </c>
      <c r="Y182" s="16">
        <f t="shared" si="31"/>
        <v>0.92307692307692313</v>
      </c>
      <c r="Z182" s="15">
        <f t="shared" si="37"/>
        <v>2.1815384615384614</v>
      </c>
      <c r="AA182" s="12">
        <f>T182+X182</f>
        <v>80.543333333333337</v>
      </c>
      <c r="AB182" s="15">
        <f t="shared" si="40"/>
        <v>10.621098901098902</v>
      </c>
      <c r="AC182" s="17">
        <f t="shared" si="42"/>
        <v>0.59006105006105014</v>
      </c>
      <c r="AD182" s="23" t="s">
        <v>41</v>
      </c>
      <c r="AE182" s="14" t="s">
        <v>288</v>
      </c>
      <c r="AF182" s="14" t="s">
        <v>553</v>
      </c>
      <c r="AH182" s="14" t="s">
        <v>554</v>
      </c>
    </row>
    <row r="183" spans="1:34" s="14" customFormat="1" ht="28.8" x14ac:dyDescent="0.3">
      <c r="A183" s="19">
        <v>45812</v>
      </c>
      <c r="B183" s="14" t="s">
        <v>68</v>
      </c>
      <c r="C183" s="14" t="s">
        <v>60</v>
      </c>
      <c r="D183" s="14" t="s">
        <v>61</v>
      </c>
      <c r="E183" s="14" t="s">
        <v>62</v>
      </c>
      <c r="F183" s="14" t="s">
        <v>63</v>
      </c>
      <c r="G183" s="14" t="s">
        <v>64</v>
      </c>
      <c r="H183" s="27">
        <v>11511</v>
      </c>
      <c r="I183" s="14" t="s">
        <v>39</v>
      </c>
      <c r="K183" s="21"/>
      <c r="L183" s="19">
        <v>43009</v>
      </c>
      <c r="M183" s="19">
        <v>46934</v>
      </c>
      <c r="N183" s="19"/>
      <c r="O183" s="14">
        <v>129</v>
      </c>
      <c r="P183" s="12">
        <v>19.5</v>
      </c>
      <c r="Q183" s="15">
        <v>14.25</v>
      </c>
      <c r="R183" s="10">
        <f t="shared" si="43"/>
        <v>33.75</v>
      </c>
      <c r="S183" s="28">
        <v>0.5</v>
      </c>
      <c r="T183" s="12">
        <v>54</v>
      </c>
      <c r="U183" s="10">
        <f t="shared" si="29"/>
        <v>5.0232558139534884</v>
      </c>
      <c r="V183" s="26">
        <v>7</v>
      </c>
      <c r="W183" s="52" t="s">
        <v>40</v>
      </c>
      <c r="X183" s="15">
        <f t="shared" si="36"/>
        <v>19.6875</v>
      </c>
      <c r="Y183" s="16">
        <f t="shared" si="31"/>
        <v>0.65116279069767447</v>
      </c>
      <c r="Z183" s="15">
        <f t="shared" si="37"/>
        <v>1.8313953488372092</v>
      </c>
      <c r="AA183" s="12">
        <f>T183+X183</f>
        <v>73.6875</v>
      </c>
      <c r="AB183" s="15">
        <f t="shared" si="40"/>
        <v>6.8546511627906979</v>
      </c>
      <c r="AC183" s="17">
        <f t="shared" si="42"/>
        <v>0.35152057245080504</v>
      </c>
      <c r="AD183" s="23"/>
      <c r="AG183" s="14" t="s">
        <v>69</v>
      </c>
      <c r="AH183" s="14" t="s">
        <v>65</v>
      </c>
    </row>
    <row r="184" spans="1:34" s="14" customFormat="1" ht="100.8" x14ac:dyDescent="0.3">
      <c r="A184" s="19">
        <v>44245</v>
      </c>
      <c r="B184" s="14" t="s">
        <v>847</v>
      </c>
      <c r="C184" s="14" t="s">
        <v>848</v>
      </c>
      <c r="D184" s="14" t="s">
        <v>849</v>
      </c>
      <c r="E184" s="14" t="s">
        <v>103</v>
      </c>
      <c r="F184" s="14" t="s">
        <v>37</v>
      </c>
      <c r="G184" s="14" t="s">
        <v>38</v>
      </c>
      <c r="H184" s="20">
        <v>27138</v>
      </c>
      <c r="I184" s="14" t="s">
        <v>74</v>
      </c>
      <c r="K184" s="21"/>
      <c r="L184" s="19">
        <v>44136</v>
      </c>
      <c r="M184" s="19">
        <v>48152</v>
      </c>
      <c r="N184" s="19"/>
      <c r="O184" s="14">
        <v>132</v>
      </c>
      <c r="P184" s="22">
        <v>19.75</v>
      </c>
      <c r="Q184" s="10">
        <v>12.35</v>
      </c>
      <c r="R184" s="10">
        <f t="shared" si="43"/>
        <v>32.1</v>
      </c>
      <c r="S184" s="15">
        <v>0.5</v>
      </c>
      <c r="T184" s="12">
        <v>50</v>
      </c>
      <c r="U184" s="10">
        <f t="shared" si="29"/>
        <v>4.5454545454545459</v>
      </c>
      <c r="V184" s="26">
        <v>5</v>
      </c>
      <c r="W184" s="14" t="s">
        <v>40</v>
      </c>
      <c r="X184" s="15">
        <f t="shared" si="36"/>
        <v>13.375000000000002</v>
      </c>
      <c r="Y184" s="16">
        <f t="shared" si="31"/>
        <v>0.45454545454545453</v>
      </c>
      <c r="Z184" s="15">
        <f t="shared" si="37"/>
        <v>1.2159090909090911</v>
      </c>
      <c r="AA184" s="12">
        <f>T184+X184</f>
        <v>63.375</v>
      </c>
      <c r="AB184" s="15">
        <f t="shared" si="40"/>
        <v>5.7613636363636367</v>
      </c>
      <c r="AC184" s="17">
        <f t="shared" si="42"/>
        <v>0.29171461449942465</v>
      </c>
      <c r="AD184" s="23" t="s">
        <v>224</v>
      </c>
      <c r="AG184" s="14" t="s">
        <v>850</v>
      </c>
      <c r="AH184" s="14" t="s">
        <v>851</v>
      </c>
    </row>
    <row r="185" spans="1:34" s="14" customFormat="1" ht="28.8" x14ac:dyDescent="0.3">
      <c r="A185" s="19">
        <v>44600</v>
      </c>
      <c r="B185" s="14" t="s">
        <v>687</v>
      </c>
      <c r="C185" s="14" t="s">
        <v>207</v>
      </c>
      <c r="D185" s="14" t="s">
        <v>208</v>
      </c>
      <c r="E185" s="14" t="s">
        <v>62</v>
      </c>
      <c r="F185" s="14" t="s">
        <v>63</v>
      </c>
      <c r="G185" s="14" t="s">
        <v>64</v>
      </c>
      <c r="H185" s="20">
        <v>16619</v>
      </c>
      <c r="I185" s="14" t="s">
        <v>74</v>
      </c>
      <c r="K185" s="21"/>
      <c r="L185" s="19">
        <v>44652</v>
      </c>
      <c r="M185" s="19">
        <v>46112</v>
      </c>
      <c r="N185" s="19"/>
      <c r="O185" s="14">
        <v>48</v>
      </c>
      <c r="P185" s="22">
        <v>22</v>
      </c>
      <c r="Q185" s="10">
        <v>17.100000000000001</v>
      </c>
      <c r="R185" s="10">
        <f t="shared" si="43"/>
        <v>39.1</v>
      </c>
      <c r="S185" s="11">
        <v>0.03</v>
      </c>
      <c r="T185" s="12">
        <v>30</v>
      </c>
      <c r="U185" s="10">
        <f t="shared" si="29"/>
        <v>7.5</v>
      </c>
      <c r="V185" s="13">
        <v>0</v>
      </c>
      <c r="X185" s="15">
        <f t="shared" si="36"/>
        <v>0</v>
      </c>
      <c r="Y185" s="16">
        <f t="shared" si="31"/>
        <v>0</v>
      </c>
      <c r="Z185" s="15">
        <f t="shared" si="37"/>
        <v>0</v>
      </c>
      <c r="AA185" s="12">
        <f>X185+T185</f>
        <v>30</v>
      </c>
      <c r="AB185" s="15">
        <f t="shared" si="40"/>
        <v>7.5</v>
      </c>
      <c r="AC185" s="17">
        <f t="shared" si="42"/>
        <v>0.34090909090909088</v>
      </c>
      <c r="AD185" s="23" t="s">
        <v>209</v>
      </c>
      <c r="AE185" s="14" t="s">
        <v>685</v>
      </c>
      <c r="AF185" s="14" t="s">
        <v>686</v>
      </c>
      <c r="AH185" s="14" t="s">
        <v>490</v>
      </c>
    </row>
    <row r="186" spans="1:34" s="14" customFormat="1" ht="57.6" x14ac:dyDescent="0.3">
      <c r="A186" s="19">
        <v>43951</v>
      </c>
      <c r="B186" s="14" t="s">
        <v>1153</v>
      </c>
      <c r="C186" s="14" t="s">
        <v>848</v>
      </c>
      <c r="D186" s="14" t="s">
        <v>849</v>
      </c>
      <c r="E186" s="14" t="s">
        <v>103</v>
      </c>
      <c r="F186" s="14" t="s">
        <v>37</v>
      </c>
      <c r="G186" s="14" t="s">
        <v>38</v>
      </c>
      <c r="H186" s="20">
        <v>19253</v>
      </c>
      <c r="I186" s="14" t="s">
        <v>39</v>
      </c>
      <c r="K186" s="21"/>
      <c r="L186" s="19">
        <v>44105</v>
      </c>
      <c r="M186" s="19">
        <v>48487</v>
      </c>
      <c r="N186" s="19"/>
      <c r="O186" s="14">
        <v>144</v>
      </c>
      <c r="P186" s="22">
        <v>19</v>
      </c>
      <c r="Q186" s="10">
        <v>11.85</v>
      </c>
      <c r="R186" s="10">
        <f t="shared" si="43"/>
        <v>30.85</v>
      </c>
      <c r="S186" s="15">
        <v>0.5</v>
      </c>
      <c r="T186" s="12">
        <v>100</v>
      </c>
      <c r="U186" s="10">
        <f t="shared" si="29"/>
        <v>8.3333333333333339</v>
      </c>
      <c r="V186" s="13">
        <v>0</v>
      </c>
      <c r="X186" s="15">
        <f t="shared" si="36"/>
        <v>0</v>
      </c>
      <c r="Y186" s="16">
        <f t="shared" si="31"/>
        <v>0</v>
      </c>
      <c r="Z186" s="15">
        <f t="shared" si="37"/>
        <v>0</v>
      </c>
      <c r="AA186" s="12">
        <f>T186+X186</f>
        <v>100</v>
      </c>
      <c r="AB186" s="15">
        <f t="shared" si="40"/>
        <v>8.3333333333333339</v>
      </c>
      <c r="AC186" s="17">
        <f t="shared" si="42"/>
        <v>0.43859649122807021</v>
      </c>
      <c r="AD186" s="23" t="s">
        <v>699</v>
      </c>
      <c r="AE186" s="14" t="s">
        <v>149</v>
      </c>
      <c r="AF186" s="14" t="s">
        <v>1154</v>
      </c>
      <c r="AG186" s="14" t="s">
        <v>1155</v>
      </c>
      <c r="AH186" s="14" t="s">
        <v>1038</v>
      </c>
    </row>
    <row r="187" spans="1:34" s="14" customFormat="1" ht="28.8" x14ac:dyDescent="0.3">
      <c r="A187" s="19">
        <v>43951</v>
      </c>
      <c r="B187" s="14" t="s">
        <v>967</v>
      </c>
      <c r="C187" s="14" t="s">
        <v>968</v>
      </c>
      <c r="D187" s="14" t="s">
        <v>969</v>
      </c>
      <c r="E187" s="14" t="s">
        <v>970</v>
      </c>
      <c r="F187" s="14" t="s">
        <v>90</v>
      </c>
      <c r="G187" s="14" t="s">
        <v>64</v>
      </c>
      <c r="H187" s="20">
        <v>11270</v>
      </c>
      <c r="I187" s="14" t="s">
        <v>39</v>
      </c>
      <c r="K187" s="21"/>
      <c r="L187" s="19">
        <v>43739</v>
      </c>
      <c r="M187" s="19">
        <v>46295</v>
      </c>
      <c r="N187" s="19"/>
      <c r="O187" s="14">
        <v>84</v>
      </c>
      <c r="P187" s="22">
        <v>11</v>
      </c>
      <c r="Q187" s="10">
        <v>4.29</v>
      </c>
      <c r="R187" s="10">
        <f t="shared" si="43"/>
        <v>15.29</v>
      </c>
      <c r="S187" s="11">
        <v>0.03</v>
      </c>
      <c r="T187" s="23"/>
      <c r="U187" s="10">
        <f t="shared" si="29"/>
        <v>0</v>
      </c>
      <c r="V187" s="23"/>
      <c r="X187" s="15">
        <f t="shared" si="36"/>
        <v>0</v>
      </c>
      <c r="Y187" s="16">
        <f t="shared" si="31"/>
        <v>0</v>
      </c>
      <c r="Z187" s="15">
        <f t="shared" si="37"/>
        <v>0</v>
      </c>
      <c r="AA187" s="12">
        <f>T187+X187</f>
        <v>0</v>
      </c>
      <c r="AB187" s="15">
        <f t="shared" si="40"/>
        <v>0</v>
      </c>
      <c r="AC187" s="17">
        <f t="shared" si="42"/>
        <v>0</v>
      </c>
      <c r="AD187" s="23" t="s">
        <v>971</v>
      </c>
    </row>
    <row r="188" spans="1:34" s="14" customFormat="1" ht="28.8" x14ac:dyDescent="0.3">
      <c r="A188" s="19">
        <v>45812</v>
      </c>
      <c r="B188" s="14" t="s">
        <v>70</v>
      </c>
      <c r="C188" s="14" t="s">
        <v>60</v>
      </c>
      <c r="D188" s="14" t="s">
        <v>61</v>
      </c>
      <c r="E188" s="14" t="s">
        <v>62</v>
      </c>
      <c r="F188" s="14" t="s">
        <v>63</v>
      </c>
      <c r="G188" s="14" t="s">
        <v>64</v>
      </c>
      <c r="H188" s="27">
        <v>7260</v>
      </c>
      <c r="I188" s="14" t="s">
        <v>39</v>
      </c>
      <c r="K188" s="21"/>
      <c r="L188" s="19">
        <v>43221</v>
      </c>
      <c r="M188" s="19">
        <v>47057</v>
      </c>
      <c r="N188" s="19"/>
      <c r="O188" s="14">
        <v>126</v>
      </c>
      <c r="P188" s="12">
        <v>21.5</v>
      </c>
      <c r="Q188" s="15">
        <v>14.25</v>
      </c>
      <c r="R188" s="10">
        <f t="shared" si="43"/>
        <v>35.75</v>
      </c>
      <c r="S188" s="28">
        <v>0.5</v>
      </c>
      <c r="T188" s="12">
        <v>60</v>
      </c>
      <c r="U188" s="10">
        <f t="shared" si="29"/>
        <v>5.7142857142857144</v>
      </c>
      <c r="V188" s="26">
        <v>9</v>
      </c>
      <c r="W188" s="52" t="s">
        <v>40</v>
      </c>
      <c r="X188" s="15">
        <f t="shared" si="36"/>
        <v>26.8125</v>
      </c>
      <c r="Y188" s="16">
        <f t="shared" si="31"/>
        <v>0.8571428571428571</v>
      </c>
      <c r="Z188" s="15">
        <f t="shared" si="37"/>
        <v>2.5535714285714284</v>
      </c>
      <c r="AA188" s="12">
        <f>T188+X188</f>
        <v>86.8125</v>
      </c>
      <c r="AB188" s="15">
        <f t="shared" si="40"/>
        <v>8.2678571428571423</v>
      </c>
      <c r="AC188" s="17">
        <f t="shared" si="42"/>
        <v>0.38455149501661129</v>
      </c>
      <c r="AD188" s="23"/>
      <c r="AH188" s="14" t="s">
        <v>65</v>
      </c>
    </row>
    <row r="189" spans="1:34" s="14" customFormat="1" ht="28.8" x14ac:dyDescent="0.3">
      <c r="A189" s="19">
        <v>44433</v>
      </c>
      <c r="B189" s="14" t="s">
        <v>767</v>
      </c>
      <c r="C189" s="14" t="s">
        <v>431</v>
      </c>
      <c r="D189" s="14" t="s">
        <v>308</v>
      </c>
      <c r="E189" s="14" t="s">
        <v>243</v>
      </c>
      <c r="F189" s="14" t="s">
        <v>37</v>
      </c>
      <c r="G189" s="14" t="s">
        <v>64</v>
      </c>
      <c r="H189" s="20">
        <v>9614</v>
      </c>
      <c r="I189" s="14" t="s">
        <v>74</v>
      </c>
      <c r="K189" s="21"/>
      <c r="L189" s="19">
        <v>44105</v>
      </c>
      <c r="M189" s="19">
        <v>46081</v>
      </c>
      <c r="N189" s="19"/>
      <c r="O189" s="14">
        <v>65</v>
      </c>
      <c r="P189" s="22">
        <v>16.5</v>
      </c>
      <c r="Q189" s="10">
        <v>15.58</v>
      </c>
      <c r="R189" s="10">
        <f t="shared" si="43"/>
        <v>32.08</v>
      </c>
      <c r="S189" s="15">
        <v>0.5</v>
      </c>
      <c r="T189" s="23">
        <v>63</v>
      </c>
      <c r="U189" s="10">
        <f t="shared" si="29"/>
        <v>11.63076923076923</v>
      </c>
      <c r="V189" s="26">
        <v>5</v>
      </c>
      <c r="W189" s="14" t="s">
        <v>40</v>
      </c>
      <c r="X189" s="15">
        <f t="shared" si="36"/>
        <v>13.366666666666667</v>
      </c>
      <c r="Y189" s="16">
        <f t="shared" si="31"/>
        <v>0.92307692307692302</v>
      </c>
      <c r="Z189" s="15">
        <f t="shared" si="37"/>
        <v>2.4676923076923076</v>
      </c>
      <c r="AA189" s="12">
        <f>X189+T189</f>
        <v>76.366666666666674</v>
      </c>
      <c r="AB189" s="15">
        <f t="shared" si="40"/>
        <v>14.098461538461539</v>
      </c>
      <c r="AC189" s="17">
        <f t="shared" si="42"/>
        <v>0.85445221445221442</v>
      </c>
      <c r="AD189" s="23" t="s">
        <v>240</v>
      </c>
      <c r="AE189" s="8" t="s">
        <v>91</v>
      </c>
      <c r="AF189" s="14" t="s">
        <v>116</v>
      </c>
      <c r="AH189" s="14" t="s">
        <v>441</v>
      </c>
    </row>
    <row r="190" spans="1:34" s="14" customFormat="1" ht="28.8" x14ac:dyDescent="0.3">
      <c r="A190" s="19">
        <v>45805</v>
      </c>
      <c r="B190" s="14" t="s">
        <v>100</v>
      </c>
      <c r="C190" s="14" t="s">
        <v>101</v>
      </c>
      <c r="D190" s="14" t="s">
        <v>102</v>
      </c>
      <c r="E190" s="14" t="s">
        <v>103</v>
      </c>
      <c r="F190" s="14" t="s">
        <v>37</v>
      </c>
      <c r="G190" s="14" t="s">
        <v>64</v>
      </c>
      <c r="H190" s="25">
        <v>26193</v>
      </c>
      <c r="I190" s="14" t="s">
        <v>39</v>
      </c>
      <c r="K190" s="57"/>
      <c r="L190" s="19">
        <v>45901</v>
      </c>
      <c r="M190" s="19">
        <v>49187</v>
      </c>
      <c r="N190" s="19"/>
      <c r="O190" s="14">
        <v>108</v>
      </c>
      <c r="P190" s="12">
        <v>21.5</v>
      </c>
      <c r="Q190" s="15"/>
      <c r="R190" s="10">
        <f t="shared" si="43"/>
        <v>21.5</v>
      </c>
      <c r="S190" s="15">
        <v>0.5</v>
      </c>
      <c r="T190" s="12">
        <v>50</v>
      </c>
      <c r="U190" s="10">
        <f t="shared" si="29"/>
        <v>5.5555555555555554</v>
      </c>
      <c r="V190" s="13">
        <v>16</v>
      </c>
      <c r="W190" s="52" t="s">
        <v>40</v>
      </c>
      <c r="X190" s="15">
        <f t="shared" si="36"/>
        <v>28.666666666666664</v>
      </c>
      <c r="Y190" s="16">
        <f t="shared" si="31"/>
        <v>1.7777777777777777</v>
      </c>
      <c r="Z190" s="15">
        <f t="shared" si="37"/>
        <v>3.1851851851851851</v>
      </c>
      <c r="AA190" s="12">
        <f>X190+T190</f>
        <v>78.666666666666657</v>
      </c>
      <c r="AB190" s="15">
        <f t="shared" si="40"/>
        <v>8.7407407407407405</v>
      </c>
      <c r="AC190" s="17">
        <f t="shared" si="42"/>
        <v>0.40654608096468559</v>
      </c>
      <c r="AD190" s="23"/>
      <c r="AE190" s="14" t="s">
        <v>91</v>
      </c>
      <c r="AF190" s="14" t="s">
        <v>92</v>
      </c>
      <c r="AH190" s="14" t="s">
        <v>49</v>
      </c>
    </row>
    <row r="191" spans="1:34" s="14" customFormat="1" ht="86.4" x14ac:dyDescent="0.3">
      <c r="A191" s="19">
        <v>44006</v>
      </c>
      <c r="B191" s="14" t="s">
        <v>928</v>
      </c>
      <c r="C191" s="14" t="s">
        <v>87</v>
      </c>
      <c r="D191" s="14" t="s">
        <v>115</v>
      </c>
      <c r="E191" s="14" t="s">
        <v>89</v>
      </c>
      <c r="F191" s="14" t="s">
        <v>90</v>
      </c>
      <c r="G191" s="14" t="s">
        <v>64</v>
      </c>
      <c r="H191" s="20">
        <v>47716</v>
      </c>
      <c r="I191" s="14" t="s">
        <v>39</v>
      </c>
      <c r="K191" s="21"/>
      <c r="L191" s="19">
        <v>43983</v>
      </c>
      <c r="M191" s="19">
        <v>48365</v>
      </c>
      <c r="N191" s="19"/>
      <c r="O191" s="14">
        <v>144</v>
      </c>
      <c r="P191" s="22">
        <v>16.5</v>
      </c>
      <c r="Q191" s="10">
        <v>13.37</v>
      </c>
      <c r="R191" s="10">
        <f t="shared" si="43"/>
        <v>29.869999999999997</v>
      </c>
      <c r="S191" s="15">
        <v>0.5</v>
      </c>
      <c r="T191" s="12">
        <v>60</v>
      </c>
      <c r="U191" s="10">
        <f t="shared" si="29"/>
        <v>5</v>
      </c>
      <c r="V191" s="26">
        <v>12</v>
      </c>
      <c r="W191" s="14" t="s">
        <v>40</v>
      </c>
      <c r="X191" s="15">
        <f t="shared" si="36"/>
        <v>29.869999999999997</v>
      </c>
      <c r="Y191" s="16">
        <f t="shared" si="31"/>
        <v>1</v>
      </c>
      <c r="Z191" s="15">
        <f t="shared" si="37"/>
        <v>2.4891666666666663</v>
      </c>
      <c r="AA191" s="12">
        <f>X191+T191</f>
        <v>89.87</v>
      </c>
      <c r="AB191" s="15">
        <f t="shared" si="40"/>
        <v>7.4891666666666667</v>
      </c>
      <c r="AC191" s="17">
        <f t="shared" si="42"/>
        <v>0.4538888888888889</v>
      </c>
      <c r="AD191" s="23" t="s">
        <v>929</v>
      </c>
      <c r="AE191" s="14" t="s">
        <v>288</v>
      </c>
      <c r="AF191" s="14" t="s">
        <v>930</v>
      </c>
      <c r="AG191" s="14" t="s">
        <v>931</v>
      </c>
      <c r="AH191" s="14" t="s">
        <v>230</v>
      </c>
    </row>
    <row r="192" spans="1:34" s="14" customFormat="1" ht="43.2" x14ac:dyDescent="0.3">
      <c r="A192" s="19">
        <v>45796</v>
      </c>
      <c r="B192" s="14" t="s">
        <v>146</v>
      </c>
      <c r="C192" s="14" t="s">
        <v>147</v>
      </c>
      <c r="D192" s="14" t="s">
        <v>148</v>
      </c>
      <c r="E192" s="14" t="s">
        <v>89</v>
      </c>
      <c r="F192" s="14" t="s">
        <v>90</v>
      </c>
      <c r="G192" s="14" t="s">
        <v>64</v>
      </c>
      <c r="H192" s="25">
        <v>50349</v>
      </c>
      <c r="I192" s="14" t="s">
        <v>39</v>
      </c>
      <c r="K192" s="57"/>
      <c r="L192" s="19"/>
      <c r="M192" s="19"/>
      <c r="N192" s="19"/>
      <c r="O192" s="14">
        <v>156</v>
      </c>
      <c r="P192" s="12">
        <v>15</v>
      </c>
      <c r="Q192" s="15"/>
      <c r="R192" s="10"/>
      <c r="S192" s="15">
        <v>0.5</v>
      </c>
      <c r="T192" s="12">
        <v>120</v>
      </c>
      <c r="U192" s="10">
        <f t="shared" si="29"/>
        <v>9.2307692307692299</v>
      </c>
      <c r="V192" s="13">
        <v>0</v>
      </c>
      <c r="W192" s="52" t="s">
        <v>40</v>
      </c>
      <c r="X192" s="15">
        <f t="shared" si="36"/>
        <v>0</v>
      </c>
      <c r="Y192" s="16">
        <f t="shared" si="31"/>
        <v>0</v>
      </c>
      <c r="Z192" s="15">
        <f t="shared" si="37"/>
        <v>0</v>
      </c>
      <c r="AA192" s="12">
        <f>T192+X192</f>
        <v>120</v>
      </c>
      <c r="AB192" s="15">
        <f t="shared" si="40"/>
        <v>9.2307692307692299</v>
      </c>
      <c r="AC192" s="17">
        <f t="shared" si="42"/>
        <v>0.61538461538461531</v>
      </c>
      <c r="AD192" s="23"/>
      <c r="AE192" s="14" t="s">
        <v>149</v>
      </c>
      <c r="AF192" s="14" t="s">
        <v>150</v>
      </c>
      <c r="AG192" s="14" t="s">
        <v>151</v>
      </c>
    </row>
    <row r="193" spans="1:34" s="14" customFormat="1" ht="43.2" x14ac:dyDescent="0.3">
      <c r="A193" s="19">
        <v>44271</v>
      </c>
      <c r="B193" s="14" t="s">
        <v>843</v>
      </c>
      <c r="C193" s="14" t="s">
        <v>171</v>
      </c>
      <c r="D193" s="14" t="s">
        <v>844</v>
      </c>
      <c r="E193" s="14" t="s">
        <v>168</v>
      </c>
      <c r="F193" s="14" t="s">
        <v>37</v>
      </c>
      <c r="G193" s="14" t="s">
        <v>38</v>
      </c>
      <c r="H193" s="20">
        <v>26632</v>
      </c>
      <c r="I193" s="14" t="s">
        <v>39</v>
      </c>
      <c r="K193" s="21"/>
      <c r="L193" s="19">
        <v>43983</v>
      </c>
      <c r="M193" s="19">
        <v>47542</v>
      </c>
      <c r="N193" s="19"/>
      <c r="O193" s="14">
        <v>117</v>
      </c>
      <c r="P193" s="22">
        <v>11.73</v>
      </c>
      <c r="Q193" s="10">
        <v>5.52</v>
      </c>
      <c r="R193" s="10">
        <f>P193+Q193</f>
        <v>17.25</v>
      </c>
      <c r="S193" s="15">
        <v>0.5</v>
      </c>
      <c r="T193" s="12">
        <v>45</v>
      </c>
      <c r="U193" s="10">
        <f t="shared" si="29"/>
        <v>4.615384615384615</v>
      </c>
      <c r="V193" s="26">
        <v>9</v>
      </c>
      <c r="W193" s="14" t="s">
        <v>40</v>
      </c>
      <c r="X193" s="15">
        <f t="shared" si="36"/>
        <v>12.9375</v>
      </c>
      <c r="Y193" s="16">
        <f t="shared" si="31"/>
        <v>0.92307692307692313</v>
      </c>
      <c r="Z193" s="15">
        <f t="shared" si="37"/>
        <v>1.3269230769230769</v>
      </c>
      <c r="AA193" s="12">
        <f>X193+T193</f>
        <v>57.9375</v>
      </c>
      <c r="AB193" s="15">
        <f t="shared" si="40"/>
        <v>5.9423076923076925</v>
      </c>
      <c r="AC193" s="17">
        <f t="shared" si="42"/>
        <v>0.50659059610466262</v>
      </c>
      <c r="AD193" s="23" t="s">
        <v>845</v>
      </c>
      <c r="AH193" s="14" t="s">
        <v>846</v>
      </c>
    </row>
    <row r="194" spans="1:34" s="14" customFormat="1" ht="43.2" x14ac:dyDescent="0.3">
      <c r="A194" s="19">
        <v>44824</v>
      </c>
      <c r="B194" s="14" t="s">
        <v>571</v>
      </c>
      <c r="C194" s="14" t="s">
        <v>572</v>
      </c>
      <c r="D194" s="14" t="s">
        <v>154</v>
      </c>
      <c r="E194" s="14" t="s">
        <v>36</v>
      </c>
      <c r="F194" s="14" t="s">
        <v>37</v>
      </c>
      <c r="G194" s="14" t="s">
        <v>38</v>
      </c>
      <c r="H194" s="20">
        <v>6634</v>
      </c>
      <c r="I194" s="14" t="s">
        <v>39</v>
      </c>
      <c r="K194" s="21"/>
      <c r="L194" s="19">
        <v>44835</v>
      </c>
      <c r="M194" s="19">
        <v>47603</v>
      </c>
      <c r="N194" s="19"/>
      <c r="O194" s="14">
        <v>91</v>
      </c>
      <c r="P194" s="22">
        <v>21</v>
      </c>
      <c r="Q194" s="10">
        <v>11.11</v>
      </c>
      <c r="R194" s="10">
        <f>P194+Q194</f>
        <v>32.11</v>
      </c>
      <c r="S194" s="15">
        <v>0.5</v>
      </c>
      <c r="T194" s="12">
        <v>50</v>
      </c>
      <c r="U194" s="10">
        <f t="shared" ref="U194:U257" si="44">T194/(O194/12)</f>
        <v>6.593406593406594</v>
      </c>
      <c r="V194" s="26">
        <v>9.5</v>
      </c>
      <c r="W194" s="14" t="s">
        <v>40</v>
      </c>
      <c r="X194" s="15">
        <f t="shared" si="36"/>
        <v>25.420416666666664</v>
      </c>
      <c r="Y194" s="16">
        <f t="shared" ref="Y194:Y257" si="45">V194/(O194/12)</f>
        <v>1.2527472527472527</v>
      </c>
      <c r="Z194" s="15">
        <f t="shared" si="37"/>
        <v>3.3521428571428569</v>
      </c>
      <c r="AA194" s="12">
        <f>T194+X194</f>
        <v>75.420416666666668</v>
      </c>
      <c r="AB194" s="15">
        <f t="shared" si="40"/>
        <v>9.9455494505494517</v>
      </c>
      <c r="AC194" s="17">
        <f t="shared" si="42"/>
        <v>0.47359759288330722</v>
      </c>
      <c r="AD194" s="23" t="s">
        <v>573</v>
      </c>
      <c r="AG194" s="14" t="s">
        <v>574</v>
      </c>
    </row>
    <row r="195" spans="1:34" s="14" customFormat="1" ht="28.8" x14ac:dyDescent="0.3">
      <c r="A195" s="19">
        <v>44594</v>
      </c>
      <c r="B195" s="14" t="s">
        <v>692</v>
      </c>
      <c r="C195" s="14" t="s">
        <v>147</v>
      </c>
      <c r="D195" s="14" t="s">
        <v>366</v>
      </c>
      <c r="E195" s="14" t="s">
        <v>89</v>
      </c>
      <c r="F195" s="14" t="s">
        <v>90</v>
      </c>
      <c r="G195" s="14" t="s">
        <v>64</v>
      </c>
      <c r="H195" s="20">
        <v>12806</v>
      </c>
      <c r="I195" s="14" t="s">
        <v>74</v>
      </c>
      <c r="K195" s="21"/>
      <c r="L195" s="19">
        <v>44927</v>
      </c>
      <c r="M195" s="19">
        <v>46996</v>
      </c>
      <c r="N195" s="19"/>
      <c r="O195" s="14">
        <v>68</v>
      </c>
      <c r="P195" s="22">
        <v>16</v>
      </c>
      <c r="Q195" s="10">
        <v>14.12</v>
      </c>
      <c r="R195" s="10">
        <f>P195+Q195</f>
        <v>30.119999999999997</v>
      </c>
      <c r="S195" s="15">
        <v>0.5</v>
      </c>
      <c r="T195" s="12">
        <v>23</v>
      </c>
      <c r="U195" s="10">
        <f t="shared" si="44"/>
        <v>4.0588235294117645</v>
      </c>
      <c r="V195" s="26">
        <v>8</v>
      </c>
      <c r="W195" s="14" t="s">
        <v>40</v>
      </c>
      <c r="X195" s="15">
        <f t="shared" si="36"/>
        <v>20.079999999999998</v>
      </c>
      <c r="Y195" s="16">
        <f t="shared" si="45"/>
        <v>1.4117647058823528</v>
      </c>
      <c r="Z195" s="15">
        <f t="shared" si="37"/>
        <v>3.5435294117647054</v>
      </c>
      <c r="AA195" s="12">
        <f>X195+T195</f>
        <v>43.08</v>
      </c>
      <c r="AB195" s="15">
        <f t="shared" si="40"/>
        <v>7.6023529411764699</v>
      </c>
      <c r="AC195" s="17">
        <f t="shared" si="42"/>
        <v>0.47514705882352937</v>
      </c>
      <c r="AD195" s="23" t="s">
        <v>693</v>
      </c>
      <c r="AE195" s="14" t="s">
        <v>390</v>
      </c>
      <c r="AF195" s="14" t="s">
        <v>694</v>
      </c>
      <c r="AH195" s="14" t="s">
        <v>695</v>
      </c>
    </row>
    <row r="196" spans="1:34" s="14" customFormat="1" ht="28.8" x14ac:dyDescent="0.3">
      <c r="A196" s="19">
        <v>45854</v>
      </c>
      <c r="B196" s="14" t="s">
        <v>1320</v>
      </c>
      <c r="C196" s="14" t="s">
        <v>1329</v>
      </c>
      <c r="D196" s="14" t="s">
        <v>1329</v>
      </c>
      <c r="E196" s="14" t="s">
        <v>103</v>
      </c>
      <c r="F196" s="14" t="s">
        <v>37</v>
      </c>
      <c r="G196" s="14" t="s">
        <v>64</v>
      </c>
      <c r="H196" s="20">
        <v>46170</v>
      </c>
      <c r="I196" s="14" t="s">
        <v>74</v>
      </c>
      <c r="K196" s="21"/>
      <c r="L196" s="19">
        <v>45627</v>
      </c>
      <c r="M196" s="19">
        <v>47603</v>
      </c>
      <c r="N196" s="19"/>
      <c r="O196" s="14">
        <v>65</v>
      </c>
      <c r="P196" s="22">
        <v>18</v>
      </c>
      <c r="Q196" s="10"/>
      <c r="R196" s="10"/>
      <c r="S196" s="15">
        <v>0.5</v>
      </c>
      <c r="T196" s="12">
        <v>0</v>
      </c>
      <c r="U196" s="10">
        <f t="shared" si="44"/>
        <v>0</v>
      </c>
      <c r="V196" s="26">
        <v>2</v>
      </c>
      <c r="W196" s="14" t="s">
        <v>40</v>
      </c>
      <c r="X196" s="15"/>
      <c r="Y196" s="16">
        <f t="shared" si="45"/>
        <v>0.3692307692307692</v>
      </c>
      <c r="Z196" s="15"/>
      <c r="AA196" s="12"/>
      <c r="AB196" s="15"/>
      <c r="AC196" s="17"/>
      <c r="AD196" s="23"/>
      <c r="AE196" s="14" t="s">
        <v>98</v>
      </c>
      <c r="AF196" s="14" t="s">
        <v>1328</v>
      </c>
      <c r="AH196" s="14" t="s">
        <v>49</v>
      </c>
    </row>
    <row r="197" spans="1:34" s="14" customFormat="1" ht="144" x14ac:dyDescent="0.3">
      <c r="A197" s="19">
        <v>43951</v>
      </c>
      <c r="B197" s="14" t="s">
        <v>1018</v>
      </c>
      <c r="C197" s="14" t="s">
        <v>428</v>
      </c>
      <c r="D197" s="14" t="s">
        <v>148</v>
      </c>
      <c r="E197" s="14" t="s">
        <v>89</v>
      </c>
      <c r="F197" s="14" t="s">
        <v>90</v>
      </c>
      <c r="G197" s="14" t="s">
        <v>64</v>
      </c>
      <c r="H197" s="20">
        <v>8130</v>
      </c>
      <c r="I197" s="14" t="s">
        <v>39</v>
      </c>
      <c r="K197" s="21"/>
      <c r="L197" s="19">
        <v>44013</v>
      </c>
      <c r="M197" s="19">
        <v>46934</v>
      </c>
      <c r="N197" s="19"/>
      <c r="O197" s="14">
        <v>96</v>
      </c>
      <c r="P197" s="22">
        <v>16.5</v>
      </c>
      <c r="Q197" s="10">
        <v>13.78</v>
      </c>
      <c r="R197" s="10">
        <f t="shared" ref="R197:R212" si="46">P197+Q197</f>
        <v>30.28</v>
      </c>
      <c r="S197" s="15">
        <v>0.5</v>
      </c>
      <c r="T197" s="12">
        <v>65</v>
      </c>
      <c r="U197" s="10">
        <f t="shared" si="44"/>
        <v>8.125</v>
      </c>
      <c r="V197" s="26">
        <v>7</v>
      </c>
      <c r="W197" s="14" t="s">
        <v>40</v>
      </c>
      <c r="X197" s="15">
        <f t="shared" ref="X197:X218" si="47">(V197/12)*R197</f>
        <v>17.663333333333334</v>
      </c>
      <c r="Y197" s="16">
        <f t="shared" si="45"/>
        <v>0.875</v>
      </c>
      <c r="Z197" s="15">
        <f t="shared" ref="Z197:Z228" si="48">X197/(O197/12)</f>
        <v>2.2079166666666667</v>
      </c>
      <c r="AA197" s="12">
        <f>T197+X197</f>
        <v>82.663333333333327</v>
      </c>
      <c r="AB197" s="15">
        <f t="shared" ref="AB197:AB228" si="49">AA197/(O197/12)</f>
        <v>10.332916666666666</v>
      </c>
      <c r="AC197" s="17">
        <f t="shared" ref="AC197:AC228" si="50">AB197/P197</f>
        <v>0.62623737373737365</v>
      </c>
      <c r="AD197" s="23" t="s">
        <v>999</v>
      </c>
      <c r="AE197" s="14" t="s">
        <v>682</v>
      </c>
      <c r="AF197" s="14" t="s">
        <v>1019</v>
      </c>
      <c r="AG197" s="14" t="s">
        <v>1020</v>
      </c>
      <c r="AH197" s="14" t="s">
        <v>72</v>
      </c>
    </row>
    <row r="198" spans="1:34" s="14" customFormat="1" ht="28.8" x14ac:dyDescent="0.3">
      <c r="A198" s="19">
        <v>43951</v>
      </c>
      <c r="B198" s="14" t="s">
        <v>963</v>
      </c>
      <c r="C198" s="14" t="s">
        <v>964</v>
      </c>
      <c r="D198" s="14" t="s">
        <v>965</v>
      </c>
      <c r="E198" s="14" t="s">
        <v>408</v>
      </c>
      <c r="F198" s="14" t="s">
        <v>90</v>
      </c>
      <c r="G198" s="14" t="s">
        <v>64</v>
      </c>
      <c r="H198" s="20">
        <v>39378</v>
      </c>
      <c r="I198" s="14" t="s">
        <v>39</v>
      </c>
      <c r="K198" s="21"/>
      <c r="L198" s="19">
        <v>43466</v>
      </c>
      <c r="M198" s="19">
        <v>46295</v>
      </c>
      <c r="N198" s="19"/>
      <c r="O198" s="14">
        <v>93</v>
      </c>
      <c r="P198" s="22">
        <v>12.24</v>
      </c>
      <c r="Q198" s="10">
        <v>7.81</v>
      </c>
      <c r="R198" s="10">
        <f t="shared" si="46"/>
        <v>20.05</v>
      </c>
      <c r="S198" s="11">
        <v>0.02</v>
      </c>
      <c r="T198" s="12">
        <v>18.27</v>
      </c>
      <c r="U198" s="10">
        <f t="shared" si="44"/>
        <v>2.3574193548387097</v>
      </c>
      <c r="V198" s="13">
        <v>0</v>
      </c>
      <c r="X198" s="15">
        <f t="shared" si="47"/>
        <v>0</v>
      </c>
      <c r="Y198" s="16">
        <f t="shared" si="45"/>
        <v>0</v>
      </c>
      <c r="Z198" s="15">
        <f t="shared" si="48"/>
        <v>0</v>
      </c>
      <c r="AA198" s="12">
        <f>T198+X198</f>
        <v>18.27</v>
      </c>
      <c r="AB198" s="15">
        <f t="shared" si="49"/>
        <v>2.3574193548387097</v>
      </c>
      <c r="AC198" s="17">
        <f t="shared" si="50"/>
        <v>0.19259962049335863</v>
      </c>
      <c r="AD198" s="23" t="s">
        <v>966</v>
      </c>
    </row>
    <row r="199" spans="1:34" s="14" customFormat="1" ht="28.8" x14ac:dyDescent="0.3">
      <c r="A199" s="19">
        <v>44957</v>
      </c>
      <c r="B199" s="14" t="s">
        <v>455</v>
      </c>
      <c r="C199" s="14" t="s">
        <v>456</v>
      </c>
      <c r="D199" s="14" t="s">
        <v>263</v>
      </c>
      <c r="E199" s="14" t="s">
        <v>62</v>
      </c>
      <c r="F199" s="14" t="s">
        <v>63</v>
      </c>
      <c r="G199" s="14" t="s">
        <v>64</v>
      </c>
      <c r="H199" s="20">
        <v>26304</v>
      </c>
      <c r="I199" s="14" t="s">
        <v>39</v>
      </c>
      <c r="K199" s="21"/>
      <c r="L199" s="19">
        <v>45047</v>
      </c>
      <c r="M199" s="19">
        <v>49156</v>
      </c>
      <c r="N199" s="19"/>
      <c r="O199" s="14">
        <v>135</v>
      </c>
      <c r="P199" s="22">
        <v>16.5</v>
      </c>
      <c r="Q199" s="10">
        <v>19.04</v>
      </c>
      <c r="R199" s="10">
        <f t="shared" si="46"/>
        <v>35.54</v>
      </c>
      <c r="S199" s="15">
        <v>0.5</v>
      </c>
      <c r="T199" s="12">
        <v>70</v>
      </c>
      <c r="U199" s="10">
        <f t="shared" si="44"/>
        <v>6.2222222222222223</v>
      </c>
      <c r="V199" s="26">
        <v>15</v>
      </c>
      <c r="W199" s="14" t="s">
        <v>40</v>
      </c>
      <c r="X199" s="15">
        <f t="shared" si="47"/>
        <v>44.424999999999997</v>
      </c>
      <c r="Y199" s="16">
        <f t="shared" si="45"/>
        <v>1.3333333333333333</v>
      </c>
      <c r="Z199" s="15">
        <f t="shared" si="48"/>
        <v>3.9488888888888884</v>
      </c>
      <c r="AA199" s="12">
        <f>X199+T199</f>
        <v>114.425</v>
      </c>
      <c r="AB199" s="15">
        <f t="shared" si="49"/>
        <v>10.171111111111111</v>
      </c>
      <c r="AC199" s="17">
        <f t="shared" si="50"/>
        <v>0.61643097643097644</v>
      </c>
      <c r="AD199" s="23" t="s">
        <v>457</v>
      </c>
      <c r="AE199" s="14" t="s">
        <v>98</v>
      </c>
      <c r="AF199" s="14" t="s">
        <v>99</v>
      </c>
      <c r="AH199" s="14" t="s">
        <v>449</v>
      </c>
    </row>
    <row r="200" spans="1:34" s="14" customFormat="1" ht="86.4" x14ac:dyDescent="0.3">
      <c r="A200" s="19">
        <v>45201</v>
      </c>
      <c r="B200" s="14" t="s">
        <v>324</v>
      </c>
      <c r="C200" s="14" t="s">
        <v>325</v>
      </c>
      <c r="D200" s="14" t="s">
        <v>326</v>
      </c>
      <c r="E200" s="14" t="s">
        <v>120</v>
      </c>
      <c r="F200" s="14" t="s">
        <v>90</v>
      </c>
      <c r="G200" s="14" t="s">
        <v>55</v>
      </c>
      <c r="H200" s="20">
        <v>48472</v>
      </c>
      <c r="I200" s="14" t="s">
        <v>39</v>
      </c>
      <c r="K200" s="21"/>
      <c r="L200" s="19">
        <v>45139</v>
      </c>
      <c r="M200" s="19">
        <v>49948</v>
      </c>
      <c r="N200" s="19">
        <v>48426</v>
      </c>
      <c r="O200" s="14">
        <v>158</v>
      </c>
      <c r="P200" s="22">
        <v>10.44</v>
      </c>
      <c r="Q200" s="10">
        <v>11.56</v>
      </c>
      <c r="R200" s="10">
        <f t="shared" si="46"/>
        <v>22</v>
      </c>
      <c r="S200" s="15">
        <v>0.5</v>
      </c>
      <c r="T200" s="12">
        <v>55</v>
      </c>
      <c r="U200" s="10">
        <f t="shared" si="44"/>
        <v>4.1772151898734178</v>
      </c>
      <c r="V200" s="26">
        <v>14</v>
      </c>
      <c r="W200" s="14" t="s">
        <v>40</v>
      </c>
      <c r="X200" s="15">
        <f t="shared" si="47"/>
        <v>25.666666666666668</v>
      </c>
      <c r="Y200" s="16">
        <f t="shared" si="45"/>
        <v>1.0632911392405064</v>
      </c>
      <c r="Z200" s="15">
        <f t="shared" si="48"/>
        <v>1.9493670886075951</v>
      </c>
      <c r="AA200" s="12">
        <f>X200+T200</f>
        <v>80.666666666666671</v>
      </c>
      <c r="AB200" s="15">
        <f t="shared" si="49"/>
        <v>6.1265822784810133</v>
      </c>
      <c r="AC200" s="17">
        <f t="shared" si="50"/>
        <v>0.58683738299626564</v>
      </c>
      <c r="AD200" s="23" t="s">
        <v>185</v>
      </c>
      <c r="AE200" s="14" t="s">
        <v>42</v>
      </c>
      <c r="AF200" s="14" t="s">
        <v>158</v>
      </c>
      <c r="AG200" s="14" t="s">
        <v>327</v>
      </c>
      <c r="AH200" s="14" t="s">
        <v>159</v>
      </c>
    </row>
    <row r="201" spans="1:34" s="14" customFormat="1" ht="28.8" x14ac:dyDescent="0.3">
      <c r="A201" s="19">
        <v>43951</v>
      </c>
      <c r="B201" s="14" t="s">
        <v>1021</v>
      </c>
      <c r="C201" s="14" t="s">
        <v>437</v>
      </c>
      <c r="D201" s="14" t="s">
        <v>622</v>
      </c>
      <c r="E201" s="14" t="s">
        <v>89</v>
      </c>
      <c r="F201" s="14" t="s">
        <v>90</v>
      </c>
      <c r="G201" s="14" t="s">
        <v>64</v>
      </c>
      <c r="H201" s="20">
        <v>17991</v>
      </c>
      <c r="I201" s="14" t="s">
        <v>39</v>
      </c>
      <c r="K201" s="21"/>
      <c r="L201" s="19">
        <v>43922</v>
      </c>
      <c r="M201" s="19">
        <v>46965</v>
      </c>
      <c r="N201" s="19"/>
      <c r="O201" s="14">
        <v>100</v>
      </c>
      <c r="P201" s="22">
        <v>16.75</v>
      </c>
      <c r="Q201" s="10">
        <v>12.65</v>
      </c>
      <c r="R201" s="10">
        <f t="shared" si="46"/>
        <v>29.4</v>
      </c>
      <c r="S201" s="15">
        <v>0.5</v>
      </c>
      <c r="T201" s="12">
        <v>42</v>
      </c>
      <c r="U201" s="10">
        <f t="shared" si="44"/>
        <v>5.04</v>
      </c>
      <c r="V201" s="26">
        <v>7</v>
      </c>
      <c r="W201" s="14" t="s">
        <v>40</v>
      </c>
      <c r="X201" s="15">
        <f t="shared" si="47"/>
        <v>17.149999999999999</v>
      </c>
      <c r="Y201" s="16">
        <f t="shared" si="45"/>
        <v>0.84</v>
      </c>
      <c r="Z201" s="15">
        <f t="shared" si="48"/>
        <v>2.0579999999999998</v>
      </c>
      <c r="AA201" s="12">
        <f>T201+X201</f>
        <v>59.15</v>
      </c>
      <c r="AB201" s="15">
        <f t="shared" si="49"/>
        <v>7.097999999999999</v>
      </c>
      <c r="AC201" s="17">
        <f t="shared" si="50"/>
        <v>0.42376119402985069</v>
      </c>
      <c r="AD201" s="23" t="s">
        <v>439</v>
      </c>
      <c r="AG201" s="14" t="s">
        <v>1022</v>
      </c>
      <c r="AH201" s="14" t="s">
        <v>92</v>
      </c>
    </row>
    <row r="202" spans="1:34" s="14" customFormat="1" ht="28.8" x14ac:dyDescent="0.3">
      <c r="A202" s="19">
        <v>44978</v>
      </c>
      <c r="B202" s="14" t="s">
        <v>436</v>
      </c>
      <c r="C202" s="14" t="s">
        <v>437</v>
      </c>
      <c r="D202" s="14" t="s">
        <v>438</v>
      </c>
      <c r="E202" s="14" t="s">
        <v>89</v>
      </c>
      <c r="F202" s="14" t="s">
        <v>90</v>
      </c>
      <c r="G202" s="14" t="s">
        <v>64</v>
      </c>
      <c r="H202" s="20">
        <v>39939</v>
      </c>
      <c r="I202" s="14" t="s">
        <v>39</v>
      </c>
      <c r="K202" s="21">
        <v>44896</v>
      </c>
      <c r="L202" s="19">
        <v>45292</v>
      </c>
      <c r="M202" s="19">
        <v>49674</v>
      </c>
      <c r="N202" s="19"/>
      <c r="O202" s="14">
        <v>144</v>
      </c>
      <c r="P202" s="22">
        <v>17</v>
      </c>
      <c r="Q202" s="10">
        <v>11.16</v>
      </c>
      <c r="R202" s="10">
        <f t="shared" si="46"/>
        <v>28.16</v>
      </c>
      <c r="S202" s="15">
        <v>0.5</v>
      </c>
      <c r="T202" s="12">
        <v>80</v>
      </c>
      <c r="U202" s="10">
        <f t="shared" si="44"/>
        <v>6.666666666666667</v>
      </c>
      <c r="V202" s="26">
        <v>19</v>
      </c>
      <c r="W202" s="14" t="s">
        <v>40</v>
      </c>
      <c r="X202" s="15">
        <f t="shared" si="47"/>
        <v>44.586666666666666</v>
      </c>
      <c r="Y202" s="16">
        <f t="shared" si="45"/>
        <v>1.5833333333333333</v>
      </c>
      <c r="Z202" s="15">
        <f t="shared" si="48"/>
        <v>3.7155555555555555</v>
      </c>
      <c r="AA202" s="12">
        <f>T202+X202</f>
        <v>124.58666666666667</v>
      </c>
      <c r="AB202" s="15">
        <f t="shared" si="49"/>
        <v>10.382222222222223</v>
      </c>
      <c r="AC202" s="17">
        <f t="shared" si="50"/>
        <v>0.61071895424836609</v>
      </c>
      <c r="AD202" s="23" t="s">
        <v>439</v>
      </c>
      <c r="AE202" s="8" t="s">
        <v>91</v>
      </c>
      <c r="AF202" s="14" t="s">
        <v>440</v>
      </c>
      <c r="AH202" s="14" t="s">
        <v>441</v>
      </c>
    </row>
    <row r="203" spans="1:34" s="14" customFormat="1" ht="28.8" x14ac:dyDescent="0.3">
      <c r="A203" s="19">
        <v>44664</v>
      </c>
      <c r="B203" s="14" t="s">
        <v>636</v>
      </c>
      <c r="D203" s="14" t="s">
        <v>637</v>
      </c>
      <c r="E203" s="14" t="s">
        <v>103</v>
      </c>
      <c r="F203" s="14" t="s">
        <v>37</v>
      </c>
      <c r="G203" s="14" t="s">
        <v>38</v>
      </c>
      <c r="H203" s="20">
        <v>15617</v>
      </c>
      <c r="I203" s="14" t="s">
        <v>39</v>
      </c>
      <c r="K203" s="21"/>
      <c r="L203" s="19">
        <v>44593</v>
      </c>
      <c r="M203" s="19">
        <v>46783</v>
      </c>
      <c r="N203" s="19"/>
      <c r="O203" s="14">
        <v>72</v>
      </c>
      <c r="P203" s="22">
        <v>15.5</v>
      </c>
      <c r="Q203" s="10">
        <v>10.91</v>
      </c>
      <c r="R203" s="10">
        <f t="shared" si="46"/>
        <v>26.41</v>
      </c>
      <c r="S203" s="15">
        <v>0.5</v>
      </c>
      <c r="T203" s="12">
        <v>45</v>
      </c>
      <c r="U203" s="10">
        <f t="shared" si="44"/>
        <v>7.5</v>
      </c>
      <c r="V203" s="26">
        <v>8</v>
      </c>
      <c r="W203" s="14" t="s">
        <v>40</v>
      </c>
      <c r="X203" s="15">
        <f t="shared" si="47"/>
        <v>17.606666666666666</v>
      </c>
      <c r="Y203" s="16">
        <f t="shared" si="45"/>
        <v>1.3333333333333333</v>
      </c>
      <c r="Z203" s="15">
        <f t="shared" si="48"/>
        <v>2.9344444444444444</v>
      </c>
      <c r="AA203" s="12">
        <f>T203+X203</f>
        <v>62.606666666666669</v>
      </c>
      <c r="AB203" s="15">
        <f t="shared" si="49"/>
        <v>10.434444444444445</v>
      </c>
      <c r="AC203" s="17">
        <f t="shared" si="50"/>
        <v>0.67318996415770616</v>
      </c>
      <c r="AD203" s="23" t="s">
        <v>638</v>
      </c>
      <c r="AE203" s="14" t="s">
        <v>98</v>
      </c>
      <c r="AF203" s="14" t="s">
        <v>529</v>
      </c>
      <c r="AH203" s="14" t="s">
        <v>49</v>
      </c>
    </row>
    <row r="204" spans="1:34" s="14" customFormat="1" ht="28.8" x14ac:dyDescent="0.3">
      <c r="A204" s="19">
        <v>44224</v>
      </c>
      <c r="B204" s="14" t="s">
        <v>868</v>
      </c>
      <c r="C204" s="14" t="s">
        <v>361</v>
      </c>
      <c r="D204" s="14" t="s">
        <v>459</v>
      </c>
      <c r="E204" s="14" t="s">
        <v>194</v>
      </c>
      <c r="F204" s="14" t="s">
        <v>63</v>
      </c>
      <c r="G204" s="14" t="s">
        <v>64</v>
      </c>
      <c r="H204" s="20">
        <v>44511</v>
      </c>
      <c r="I204" s="14" t="s">
        <v>39</v>
      </c>
      <c r="K204" s="21"/>
      <c r="L204" s="19">
        <v>44378</v>
      </c>
      <c r="M204" s="19">
        <v>48395</v>
      </c>
      <c r="N204" s="19"/>
      <c r="O204" s="14">
        <v>132</v>
      </c>
      <c r="P204" s="22">
        <v>16.25</v>
      </c>
      <c r="Q204" s="10">
        <v>16.96</v>
      </c>
      <c r="R204" s="10">
        <f t="shared" si="46"/>
        <v>33.21</v>
      </c>
      <c r="S204" s="15">
        <v>0.5</v>
      </c>
      <c r="T204" s="12">
        <v>65</v>
      </c>
      <c r="U204" s="10">
        <f t="shared" si="44"/>
        <v>5.9090909090909092</v>
      </c>
      <c r="V204" s="26">
        <v>15</v>
      </c>
      <c r="W204" s="14" t="s">
        <v>40</v>
      </c>
      <c r="X204" s="15">
        <f t="shared" si="47"/>
        <v>41.512500000000003</v>
      </c>
      <c r="Y204" s="16">
        <f t="shared" si="45"/>
        <v>1.3636363636363635</v>
      </c>
      <c r="Z204" s="15">
        <f t="shared" si="48"/>
        <v>3.7738636363636364</v>
      </c>
      <c r="AA204" s="12">
        <f>T204+X204</f>
        <v>106.5125</v>
      </c>
      <c r="AB204" s="15">
        <f t="shared" si="49"/>
        <v>9.682954545454546</v>
      </c>
      <c r="AC204" s="17">
        <f t="shared" si="50"/>
        <v>0.59587412587412592</v>
      </c>
      <c r="AD204" s="23" t="s">
        <v>869</v>
      </c>
      <c r="AE204" s="14" t="s">
        <v>870</v>
      </c>
      <c r="AF204" s="14" t="s">
        <v>871</v>
      </c>
      <c r="AH204" s="14" t="s">
        <v>867</v>
      </c>
    </row>
    <row r="205" spans="1:34" s="14" customFormat="1" ht="28.8" x14ac:dyDescent="0.3">
      <c r="A205" s="19">
        <v>44322</v>
      </c>
      <c r="B205" s="14" t="s">
        <v>801</v>
      </c>
      <c r="C205" s="14" t="s">
        <v>802</v>
      </c>
      <c r="D205" s="14" t="s">
        <v>622</v>
      </c>
      <c r="E205" s="14" t="s">
        <v>89</v>
      </c>
      <c r="F205" s="14" t="s">
        <v>90</v>
      </c>
      <c r="G205" s="14" t="s">
        <v>64</v>
      </c>
      <c r="H205" s="20">
        <v>5265</v>
      </c>
      <c r="I205" s="14" t="s">
        <v>39</v>
      </c>
      <c r="K205" s="21"/>
      <c r="L205" s="19">
        <v>44197</v>
      </c>
      <c r="M205" s="19">
        <v>46752</v>
      </c>
      <c r="N205" s="19"/>
      <c r="O205" s="14">
        <v>84</v>
      </c>
      <c r="P205" s="22">
        <v>17</v>
      </c>
      <c r="Q205" s="10">
        <v>11.21</v>
      </c>
      <c r="R205" s="10">
        <f t="shared" si="46"/>
        <v>28.21</v>
      </c>
      <c r="S205" s="15">
        <v>0.5</v>
      </c>
      <c r="T205" s="12">
        <v>63</v>
      </c>
      <c r="U205" s="10">
        <f t="shared" si="44"/>
        <v>9</v>
      </c>
      <c r="V205" s="26">
        <v>3</v>
      </c>
      <c r="W205" s="14" t="s">
        <v>40</v>
      </c>
      <c r="X205" s="15">
        <f t="shared" si="47"/>
        <v>7.0525000000000002</v>
      </c>
      <c r="Y205" s="16">
        <f t="shared" si="45"/>
        <v>0.42857142857142855</v>
      </c>
      <c r="Z205" s="15">
        <f t="shared" si="48"/>
        <v>1.0075000000000001</v>
      </c>
      <c r="AA205" s="12">
        <f>X205+T205</f>
        <v>70.052499999999995</v>
      </c>
      <c r="AB205" s="15">
        <f t="shared" si="49"/>
        <v>10.007499999999999</v>
      </c>
      <c r="AC205" s="17">
        <f t="shared" si="50"/>
        <v>0.58867647058823525</v>
      </c>
      <c r="AD205" s="23" t="s">
        <v>439</v>
      </c>
      <c r="AE205" s="14" t="s">
        <v>803</v>
      </c>
      <c r="AF205" s="14" t="s">
        <v>804</v>
      </c>
      <c r="AG205" s="14" t="s">
        <v>354</v>
      </c>
      <c r="AH205" s="14" t="s">
        <v>800</v>
      </c>
    </row>
    <row r="206" spans="1:34" s="14" customFormat="1" ht="43.2" x14ac:dyDescent="0.3">
      <c r="A206" s="19">
        <v>44475</v>
      </c>
      <c r="B206" s="14" t="s">
        <v>744</v>
      </c>
      <c r="C206" s="14" t="s">
        <v>745</v>
      </c>
      <c r="D206" s="14" t="s">
        <v>746</v>
      </c>
      <c r="E206" s="14" t="s">
        <v>135</v>
      </c>
      <c r="F206" s="14" t="s">
        <v>90</v>
      </c>
      <c r="G206" s="14" t="s">
        <v>547</v>
      </c>
      <c r="H206" s="20">
        <v>26006</v>
      </c>
      <c r="I206" s="14" t="s">
        <v>74</v>
      </c>
      <c r="K206" s="21"/>
      <c r="L206" s="19">
        <v>44440</v>
      </c>
      <c r="M206" s="19">
        <v>46356</v>
      </c>
      <c r="N206" s="19"/>
      <c r="O206" s="14">
        <v>63</v>
      </c>
      <c r="P206" s="22">
        <v>8.01</v>
      </c>
      <c r="Q206" s="10">
        <v>6.32</v>
      </c>
      <c r="R206" s="10">
        <f t="shared" si="46"/>
        <v>14.33</v>
      </c>
      <c r="S206" s="15">
        <v>0.5</v>
      </c>
      <c r="T206" s="12">
        <v>30</v>
      </c>
      <c r="U206" s="10">
        <f t="shared" si="44"/>
        <v>5.7142857142857144</v>
      </c>
      <c r="V206" s="26">
        <v>3</v>
      </c>
      <c r="W206" s="14" t="s">
        <v>40</v>
      </c>
      <c r="X206" s="15">
        <f t="shared" si="47"/>
        <v>3.5825</v>
      </c>
      <c r="Y206" s="16">
        <f t="shared" si="45"/>
        <v>0.5714285714285714</v>
      </c>
      <c r="Z206" s="15">
        <f t="shared" si="48"/>
        <v>0.68238095238095242</v>
      </c>
      <c r="AA206" s="12">
        <f>T206+X206</f>
        <v>33.582500000000003</v>
      </c>
      <c r="AB206" s="15">
        <f t="shared" si="49"/>
        <v>6.3966666666666674</v>
      </c>
      <c r="AC206" s="17">
        <f t="shared" si="50"/>
        <v>0.79858510195588861</v>
      </c>
      <c r="AD206" s="23" t="s">
        <v>747</v>
      </c>
      <c r="AE206" s="14" t="s">
        <v>538</v>
      </c>
      <c r="AF206" s="14" t="s">
        <v>748</v>
      </c>
      <c r="AG206" s="14" t="s">
        <v>749</v>
      </c>
      <c r="AH206" s="14" t="s">
        <v>750</v>
      </c>
    </row>
    <row r="207" spans="1:34" s="14" customFormat="1" ht="28.8" x14ac:dyDescent="0.3">
      <c r="A207" s="19">
        <v>44278</v>
      </c>
      <c r="B207" s="14" t="s">
        <v>836</v>
      </c>
      <c r="C207" s="14" t="s">
        <v>799</v>
      </c>
      <c r="D207" s="14" t="s">
        <v>148</v>
      </c>
      <c r="E207" s="14" t="s">
        <v>89</v>
      </c>
      <c r="F207" s="14" t="s">
        <v>90</v>
      </c>
      <c r="G207" s="14" t="s">
        <v>64</v>
      </c>
      <c r="H207" s="20">
        <v>11013</v>
      </c>
      <c r="I207" s="14" t="s">
        <v>39</v>
      </c>
      <c r="K207" s="21"/>
      <c r="L207" s="19">
        <v>44440</v>
      </c>
      <c r="M207" s="19">
        <v>46630</v>
      </c>
      <c r="N207" s="19"/>
      <c r="O207" s="14">
        <v>72</v>
      </c>
      <c r="P207" s="22">
        <v>16</v>
      </c>
      <c r="Q207" s="10">
        <v>12.54</v>
      </c>
      <c r="R207" s="10">
        <f t="shared" si="46"/>
        <v>28.54</v>
      </c>
      <c r="S207" s="15">
        <v>0.5</v>
      </c>
      <c r="T207" s="12">
        <v>10</v>
      </c>
      <c r="U207" s="10">
        <f t="shared" si="44"/>
        <v>1.6666666666666667</v>
      </c>
      <c r="V207" s="26">
        <v>9</v>
      </c>
      <c r="W207" s="14" t="s">
        <v>40</v>
      </c>
      <c r="X207" s="15">
        <f t="shared" si="47"/>
        <v>21.405000000000001</v>
      </c>
      <c r="Y207" s="16">
        <f t="shared" si="45"/>
        <v>1.5</v>
      </c>
      <c r="Z207" s="15">
        <f t="shared" si="48"/>
        <v>3.5675000000000003</v>
      </c>
      <c r="AA207" s="12">
        <f>X207+T207</f>
        <v>31.405000000000001</v>
      </c>
      <c r="AB207" s="15">
        <f t="shared" si="49"/>
        <v>5.2341666666666669</v>
      </c>
      <c r="AC207" s="17">
        <f t="shared" si="50"/>
        <v>0.32713541666666668</v>
      </c>
      <c r="AD207" s="23" t="s">
        <v>424</v>
      </c>
      <c r="AE207" s="14" t="s">
        <v>136</v>
      </c>
      <c r="AF207" s="14" t="s">
        <v>837</v>
      </c>
      <c r="AG207" s="14" t="s">
        <v>838</v>
      </c>
      <c r="AH207" s="14" t="s">
        <v>72</v>
      </c>
    </row>
    <row r="208" spans="1:34" s="14" customFormat="1" ht="43.2" x14ac:dyDescent="0.3">
      <c r="A208" s="19">
        <v>43951</v>
      </c>
      <c r="B208" s="14" t="s">
        <v>1075</v>
      </c>
      <c r="C208" s="14" t="s">
        <v>1076</v>
      </c>
      <c r="D208" s="14" t="s">
        <v>1077</v>
      </c>
      <c r="E208" s="14" t="s">
        <v>336</v>
      </c>
      <c r="F208" s="14" t="s">
        <v>63</v>
      </c>
      <c r="G208" s="14" t="s">
        <v>64</v>
      </c>
      <c r="H208" s="20">
        <v>12861</v>
      </c>
      <c r="I208" s="14" t="s">
        <v>39</v>
      </c>
      <c r="K208" s="21">
        <v>43374</v>
      </c>
      <c r="L208" s="19">
        <v>43678</v>
      </c>
      <c r="M208" s="19">
        <v>47695</v>
      </c>
      <c r="N208" s="19"/>
      <c r="O208" s="14">
        <v>132</v>
      </c>
      <c r="P208" s="22">
        <v>14.4</v>
      </c>
      <c r="Q208" s="10">
        <v>4.63</v>
      </c>
      <c r="R208" s="10">
        <f t="shared" si="46"/>
        <v>19.03</v>
      </c>
      <c r="S208" s="11">
        <v>0.03</v>
      </c>
      <c r="T208" s="12">
        <v>0</v>
      </c>
      <c r="U208" s="10">
        <f t="shared" si="44"/>
        <v>0</v>
      </c>
      <c r="V208" s="26">
        <v>12</v>
      </c>
      <c r="W208" s="14" t="s">
        <v>169</v>
      </c>
      <c r="X208" s="15">
        <f t="shared" si="47"/>
        <v>19.03</v>
      </c>
      <c r="Y208" s="16">
        <f t="shared" si="45"/>
        <v>1.0909090909090908</v>
      </c>
      <c r="Z208" s="15">
        <f t="shared" si="48"/>
        <v>1.7300000000000002</v>
      </c>
      <c r="AA208" s="12">
        <f>T208+X208</f>
        <v>19.03</v>
      </c>
      <c r="AB208" s="15">
        <f t="shared" si="49"/>
        <v>1.7300000000000002</v>
      </c>
      <c r="AC208" s="17">
        <f t="shared" si="50"/>
        <v>0.12013888888888891</v>
      </c>
      <c r="AD208" s="23" t="s">
        <v>1078</v>
      </c>
      <c r="AE208" s="8" t="s">
        <v>91</v>
      </c>
      <c r="AF208" s="14" t="s">
        <v>225</v>
      </c>
    </row>
    <row r="209" spans="1:34" s="14" customFormat="1" ht="57.6" x14ac:dyDescent="0.3">
      <c r="A209" s="19">
        <v>43951</v>
      </c>
      <c r="B209" s="14" t="s">
        <v>1064</v>
      </c>
      <c r="C209" s="14" t="s">
        <v>110</v>
      </c>
      <c r="D209" s="14" t="s">
        <v>111</v>
      </c>
      <c r="E209" s="14" t="s">
        <v>97</v>
      </c>
      <c r="F209" s="14" t="s">
        <v>97</v>
      </c>
      <c r="G209" s="14" t="s">
        <v>64</v>
      </c>
      <c r="H209" s="20">
        <v>20842</v>
      </c>
      <c r="I209" s="14" t="s">
        <v>74</v>
      </c>
      <c r="K209" s="21"/>
      <c r="L209" s="19">
        <v>43983</v>
      </c>
      <c r="M209" s="19">
        <v>47634</v>
      </c>
      <c r="N209" s="19"/>
      <c r="O209" s="14">
        <v>120</v>
      </c>
      <c r="P209" s="22">
        <v>26</v>
      </c>
      <c r="Q209" s="10">
        <v>17.399999999999999</v>
      </c>
      <c r="R209" s="10">
        <f t="shared" si="46"/>
        <v>43.4</v>
      </c>
      <c r="S209" s="15">
        <v>0.5</v>
      </c>
      <c r="T209" s="12">
        <v>50</v>
      </c>
      <c r="U209" s="10">
        <f t="shared" si="44"/>
        <v>5</v>
      </c>
      <c r="V209" s="26">
        <v>10</v>
      </c>
      <c r="X209" s="15">
        <f t="shared" si="47"/>
        <v>36.166666666666664</v>
      </c>
      <c r="Y209" s="16">
        <f t="shared" si="45"/>
        <v>1</v>
      </c>
      <c r="Z209" s="15">
        <f t="shared" si="48"/>
        <v>3.6166666666666663</v>
      </c>
      <c r="AA209" s="12">
        <f>T209+X209</f>
        <v>86.166666666666657</v>
      </c>
      <c r="AB209" s="15">
        <f t="shared" si="49"/>
        <v>8.6166666666666654</v>
      </c>
      <c r="AC209" s="17">
        <f t="shared" si="50"/>
        <v>0.33141025641025634</v>
      </c>
      <c r="AD209" s="23" t="s">
        <v>404</v>
      </c>
      <c r="AE209" s="8" t="s">
        <v>91</v>
      </c>
      <c r="AF209" s="14" t="s">
        <v>204</v>
      </c>
      <c r="AG209" s="14" t="s">
        <v>1065</v>
      </c>
      <c r="AH209" s="14" t="s">
        <v>1066</v>
      </c>
    </row>
    <row r="210" spans="1:34" s="14" customFormat="1" ht="28.8" x14ac:dyDescent="0.3">
      <c r="A210" s="19">
        <v>44144</v>
      </c>
      <c r="B210" s="14" t="s">
        <v>884</v>
      </c>
      <c r="C210" s="14" t="s">
        <v>128</v>
      </c>
      <c r="D210" s="14" t="s">
        <v>484</v>
      </c>
      <c r="E210" s="14" t="s">
        <v>103</v>
      </c>
      <c r="F210" s="14" t="s">
        <v>37</v>
      </c>
      <c r="G210" s="14" t="s">
        <v>38</v>
      </c>
      <c r="H210" s="20">
        <v>14070</v>
      </c>
      <c r="I210" s="14" t="s">
        <v>39</v>
      </c>
      <c r="K210" s="21"/>
      <c r="L210" s="19">
        <v>44287</v>
      </c>
      <c r="M210" s="19">
        <v>47057</v>
      </c>
      <c r="N210" s="19"/>
      <c r="O210" s="14">
        <v>91</v>
      </c>
      <c r="P210" s="22">
        <v>22</v>
      </c>
      <c r="Q210" s="10">
        <v>12.26</v>
      </c>
      <c r="R210" s="10">
        <f t="shared" si="46"/>
        <v>34.26</v>
      </c>
      <c r="S210" s="15">
        <v>0.5</v>
      </c>
      <c r="T210" s="12">
        <v>42</v>
      </c>
      <c r="U210" s="10">
        <f t="shared" si="44"/>
        <v>5.5384615384615383</v>
      </c>
      <c r="V210" s="26">
        <v>7</v>
      </c>
      <c r="W210" s="14" t="s">
        <v>40</v>
      </c>
      <c r="X210" s="15">
        <f t="shared" si="47"/>
        <v>19.984999999999999</v>
      </c>
      <c r="Y210" s="16">
        <f t="shared" si="45"/>
        <v>0.92307692307692313</v>
      </c>
      <c r="Z210" s="15">
        <f t="shared" si="48"/>
        <v>2.6353846153846154</v>
      </c>
      <c r="AA210" s="12">
        <f>T210+X210</f>
        <v>61.984999999999999</v>
      </c>
      <c r="AB210" s="15">
        <f t="shared" si="49"/>
        <v>8.1738461538461546</v>
      </c>
      <c r="AC210" s="17">
        <f t="shared" si="50"/>
        <v>0.3715384615384616</v>
      </c>
      <c r="AD210" s="23" t="s">
        <v>777</v>
      </c>
      <c r="AE210" s="14" t="s">
        <v>98</v>
      </c>
      <c r="AF210" s="14" t="s">
        <v>173</v>
      </c>
      <c r="AH210" s="14" t="s">
        <v>230</v>
      </c>
    </row>
    <row r="211" spans="1:34" s="14" customFormat="1" ht="43.2" x14ac:dyDescent="0.3">
      <c r="A211" s="19">
        <v>43951</v>
      </c>
      <c r="B211" s="14" t="s">
        <v>1096</v>
      </c>
      <c r="C211" s="14" t="s">
        <v>1097</v>
      </c>
      <c r="D211" s="14" t="s">
        <v>1098</v>
      </c>
      <c r="E211" s="14" t="s">
        <v>135</v>
      </c>
      <c r="F211" s="14" t="s">
        <v>90</v>
      </c>
      <c r="G211" s="14" t="s">
        <v>64</v>
      </c>
      <c r="H211" s="20">
        <v>41173</v>
      </c>
      <c r="I211" s="14" t="s">
        <v>39</v>
      </c>
      <c r="K211" s="21"/>
      <c r="L211" s="19">
        <v>43831</v>
      </c>
      <c r="M211" s="19">
        <v>47787</v>
      </c>
      <c r="N211" s="19"/>
      <c r="O211" s="14">
        <v>130</v>
      </c>
      <c r="P211" s="22">
        <v>12.5</v>
      </c>
      <c r="Q211" s="10">
        <v>10.83</v>
      </c>
      <c r="R211" s="10">
        <f t="shared" si="46"/>
        <v>23.33</v>
      </c>
      <c r="S211" s="15">
        <v>0.5</v>
      </c>
      <c r="T211" s="12">
        <v>60</v>
      </c>
      <c r="U211" s="10">
        <f t="shared" si="44"/>
        <v>5.5384615384615383</v>
      </c>
      <c r="V211" s="13">
        <v>0</v>
      </c>
      <c r="X211" s="15">
        <f t="shared" si="47"/>
        <v>0</v>
      </c>
      <c r="Y211" s="16">
        <f t="shared" si="45"/>
        <v>0</v>
      </c>
      <c r="Z211" s="15">
        <f t="shared" si="48"/>
        <v>0</v>
      </c>
      <c r="AA211" s="12">
        <f>X211+T211</f>
        <v>60</v>
      </c>
      <c r="AB211" s="15">
        <f t="shared" si="49"/>
        <v>5.5384615384615383</v>
      </c>
      <c r="AC211" s="17">
        <f t="shared" si="50"/>
        <v>0.44307692307692309</v>
      </c>
      <c r="AD211" s="23" t="s">
        <v>1099</v>
      </c>
      <c r="AH211" s="14" t="s">
        <v>116</v>
      </c>
    </row>
    <row r="212" spans="1:34" s="14" customFormat="1" ht="43.2" x14ac:dyDescent="0.3">
      <c r="A212" s="19">
        <v>43951</v>
      </c>
      <c r="B212" s="14" t="s">
        <v>1162</v>
      </c>
      <c r="C212" s="14" t="s">
        <v>286</v>
      </c>
      <c r="D212" s="14" t="s">
        <v>733</v>
      </c>
      <c r="E212" s="14" t="s">
        <v>194</v>
      </c>
      <c r="F212" s="14" t="s">
        <v>63</v>
      </c>
      <c r="G212" s="14" t="s">
        <v>64</v>
      </c>
      <c r="H212" s="20">
        <v>87350</v>
      </c>
      <c r="I212" s="14" t="s">
        <v>39</v>
      </c>
      <c r="K212" s="21"/>
      <c r="L212" s="19">
        <v>43466</v>
      </c>
      <c r="M212" s="19">
        <v>48944</v>
      </c>
      <c r="N212" s="19"/>
      <c r="O212" s="14">
        <v>180</v>
      </c>
      <c r="P212" s="22">
        <v>18.5</v>
      </c>
      <c r="Q212" s="10">
        <v>11.97</v>
      </c>
      <c r="R212" s="10">
        <f t="shared" si="46"/>
        <v>30.47</v>
      </c>
      <c r="S212" s="15">
        <v>0.5</v>
      </c>
      <c r="T212" s="12">
        <v>29.4</v>
      </c>
      <c r="U212" s="10">
        <f t="shared" si="44"/>
        <v>1.96</v>
      </c>
      <c r="V212" s="26">
        <v>15</v>
      </c>
      <c r="W212" s="14" t="s">
        <v>40</v>
      </c>
      <c r="X212" s="15">
        <f t="shared" si="47"/>
        <v>38.087499999999999</v>
      </c>
      <c r="Y212" s="16">
        <f t="shared" si="45"/>
        <v>1</v>
      </c>
      <c r="Z212" s="15">
        <f t="shared" si="48"/>
        <v>2.5391666666666666</v>
      </c>
      <c r="AA212" s="12">
        <f>T212+X212</f>
        <v>67.487499999999997</v>
      </c>
      <c r="AB212" s="15">
        <f t="shared" si="49"/>
        <v>4.4991666666666665</v>
      </c>
      <c r="AC212" s="17">
        <f t="shared" si="50"/>
        <v>0.24319819819819818</v>
      </c>
      <c r="AD212" s="23" t="s">
        <v>1163</v>
      </c>
      <c r="AE212" s="14" t="s">
        <v>136</v>
      </c>
    </row>
    <row r="213" spans="1:34" s="14" customFormat="1" ht="28.8" x14ac:dyDescent="0.3">
      <c r="A213" s="19">
        <v>46049</v>
      </c>
      <c r="B213" s="14" t="s">
        <v>1322</v>
      </c>
      <c r="C213" s="14" t="s">
        <v>307</v>
      </c>
      <c r="D213" s="14" t="s">
        <v>308</v>
      </c>
      <c r="E213" s="14" t="s">
        <v>243</v>
      </c>
      <c r="F213" s="14" t="s">
        <v>37</v>
      </c>
      <c r="G213" s="14" t="s">
        <v>64</v>
      </c>
      <c r="H213" s="20">
        <v>16554</v>
      </c>
      <c r="I213" s="14" t="s">
        <v>39</v>
      </c>
      <c r="K213" s="21">
        <v>45261</v>
      </c>
      <c r="L213" s="19">
        <v>45261</v>
      </c>
      <c r="M213" s="19">
        <v>47330</v>
      </c>
      <c r="N213" s="19"/>
      <c r="O213" s="14">
        <v>68</v>
      </c>
      <c r="P213" s="22">
        <v>17</v>
      </c>
      <c r="Q213" s="10"/>
      <c r="R213" s="10"/>
      <c r="S213" s="15">
        <v>0.5</v>
      </c>
      <c r="T213" s="12">
        <v>35</v>
      </c>
      <c r="U213" s="10">
        <f t="shared" si="44"/>
        <v>6.1764705882352935</v>
      </c>
      <c r="V213" s="26">
        <v>8</v>
      </c>
      <c r="W213" s="14" t="s">
        <v>40</v>
      </c>
      <c r="X213" s="15">
        <f t="shared" si="47"/>
        <v>0</v>
      </c>
      <c r="Y213" s="16">
        <f t="shared" si="45"/>
        <v>1.4117647058823528</v>
      </c>
      <c r="Z213" s="15">
        <f t="shared" si="48"/>
        <v>0</v>
      </c>
      <c r="AA213" s="12">
        <f>T213+X213</f>
        <v>35</v>
      </c>
      <c r="AB213" s="15">
        <f t="shared" si="49"/>
        <v>6.1764705882352935</v>
      </c>
      <c r="AC213" s="17">
        <f t="shared" si="50"/>
        <v>0.36332179930795844</v>
      </c>
      <c r="AD213" s="23" t="s">
        <v>309</v>
      </c>
      <c r="AE213" s="14" t="s">
        <v>149</v>
      </c>
      <c r="AF213" s="14" t="s">
        <v>1154</v>
      </c>
      <c r="AH213" s="14" t="s">
        <v>49</v>
      </c>
    </row>
    <row r="214" spans="1:34" s="14" customFormat="1" ht="28.8" x14ac:dyDescent="0.3">
      <c r="A214" s="19">
        <v>45813</v>
      </c>
      <c r="B214" s="14" t="s">
        <v>66</v>
      </c>
      <c r="C214" s="14" t="s">
        <v>60</v>
      </c>
      <c r="D214" s="14" t="s">
        <v>61</v>
      </c>
      <c r="E214" s="14" t="s">
        <v>62</v>
      </c>
      <c r="F214" s="14" t="s">
        <v>63</v>
      </c>
      <c r="G214" s="14" t="s">
        <v>64</v>
      </c>
      <c r="H214" s="20">
        <v>2627</v>
      </c>
      <c r="I214" s="14" t="s">
        <v>39</v>
      </c>
      <c r="K214" s="21"/>
      <c r="L214" s="19">
        <v>45383</v>
      </c>
      <c r="M214" s="19">
        <v>46965</v>
      </c>
      <c r="N214" s="19"/>
      <c r="O214" s="14">
        <v>52</v>
      </c>
      <c r="P214" s="22">
        <v>21</v>
      </c>
      <c r="Q214" s="10">
        <v>16.87</v>
      </c>
      <c r="R214" s="10">
        <f t="shared" ref="R214:R227" si="51">P214+Q214</f>
        <v>37.870000000000005</v>
      </c>
      <c r="S214" s="15">
        <v>0.5</v>
      </c>
      <c r="T214" s="12">
        <v>10</v>
      </c>
      <c r="U214" s="10">
        <f t="shared" si="44"/>
        <v>2.3076923076923079</v>
      </c>
      <c r="V214" s="26">
        <v>7</v>
      </c>
      <c r="W214" s="14" t="s">
        <v>40</v>
      </c>
      <c r="X214" s="15">
        <f t="shared" si="47"/>
        <v>22.090833333333336</v>
      </c>
      <c r="Y214" s="16">
        <f t="shared" si="45"/>
        <v>1.6153846153846154</v>
      </c>
      <c r="Z214" s="15">
        <f t="shared" si="48"/>
        <v>5.0978846153846167</v>
      </c>
      <c r="AA214" s="12">
        <f>T214+X214</f>
        <v>32.090833333333336</v>
      </c>
      <c r="AB214" s="15">
        <f t="shared" si="49"/>
        <v>7.4055769230769242</v>
      </c>
      <c r="AC214" s="17">
        <f t="shared" si="50"/>
        <v>0.3526465201465202</v>
      </c>
      <c r="AD214" s="23"/>
      <c r="AE214" s="8"/>
      <c r="AH214" s="14" t="s">
        <v>67</v>
      </c>
    </row>
    <row r="215" spans="1:34" s="14" customFormat="1" ht="28.8" x14ac:dyDescent="0.3">
      <c r="A215" s="19">
        <v>44980</v>
      </c>
      <c r="B215" s="14" t="s">
        <v>405</v>
      </c>
      <c r="C215" s="14" t="s">
        <v>406</v>
      </c>
      <c r="D215" s="14" t="s">
        <v>407</v>
      </c>
      <c r="E215" s="14" t="s">
        <v>408</v>
      </c>
      <c r="F215" s="14" t="s">
        <v>90</v>
      </c>
      <c r="G215" s="14" t="s">
        <v>409</v>
      </c>
      <c r="H215" s="20">
        <v>8144</v>
      </c>
      <c r="I215" s="14" t="s">
        <v>39</v>
      </c>
      <c r="K215" s="21">
        <v>44866</v>
      </c>
      <c r="L215" s="19">
        <v>44927</v>
      </c>
      <c r="M215" s="19">
        <v>47026</v>
      </c>
      <c r="N215" s="19"/>
      <c r="O215" s="14">
        <v>69</v>
      </c>
      <c r="P215" s="22">
        <v>12.5</v>
      </c>
      <c r="Q215" s="10"/>
      <c r="R215" s="10">
        <f t="shared" si="51"/>
        <v>12.5</v>
      </c>
      <c r="S215" s="15">
        <v>0.5</v>
      </c>
      <c r="T215" s="12">
        <v>22.25</v>
      </c>
      <c r="U215" s="10">
        <f t="shared" si="44"/>
        <v>3.8695652173913042</v>
      </c>
      <c r="V215" s="26">
        <v>9</v>
      </c>
      <c r="W215" s="14" t="s">
        <v>40</v>
      </c>
      <c r="X215" s="15">
        <f t="shared" si="47"/>
        <v>9.375</v>
      </c>
      <c r="Y215" s="16">
        <f t="shared" si="45"/>
        <v>1.5652173913043479</v>
      </c>
      <c r="Z215" s="15">
        <f t="shared" si="48"/>
        <v>1.6304347826086956</v>
      </c>
      <c r="AA215" s="12">
        <f>X215+T215</f>
        <v>31.625</v>
      </c>
      <c r="AB215" s="15">
        <f t="shared" si="49"/>
        <v>5.5</v>
      </c>
      <c r="AC215" s="17">
        <f t="shared" si="50"/>
        <v>0.44</v>
      </c>
      <c r="AD215" s="23" t="s">
        <v>410</v>
      </c>
      <c r="AE215" s="14" t="s">
        <v>411</v>
      </c>
      <c r="AH215" s="14" t="s">
        <v>387</v>
      </c>
    </row>
    <row r="216" spans="1:34" s="14" customFormat="1" ht="28.8" x14ac:dyDescent="0.3">
      <c r="A216" s="19">
        <v>44980</v>
      </c>
      <c r="B216" s="14" t="s">
        <v>417</v>
      </c>
      <c r="C216" s="14" t="s">
        <v>418</v>
      </c>
      <c r="D216" s="14" t="s">
        <v>419</v>
      </c>
      <c r="E216" s="14" t="s">
        <v>385</v>
      </c>
      <c r="F216" s="14" t="s">
        <v>90</v>
      </c>
      <c r="G216" s="14" t="s">
        <v>64</v>
      </c>
      <c r="H216" s="20">
        <v>7717</v>
      </c>
      <c r="I216" s="14" t="s">
        <v>39</v>
      </c>
      <c r="K216" s="21"/>
      <c r="L216" s="19">
        <v>44958</v>
      </c>
      <c r="M216" s="19">
        <v>47726</v>
      </c>
      <c r="N216" s="19"/>
      <c r="O216" s="14">
        <v>91</v>
      </c>
      <c r="P216" s="22">
        <v>11.6</v>
      </c>
      <c r="Q216" s="10"/>
      <c r="R216" s="10">
        <f t="shared" si="51"/>
        <v>11.6</v>
      </c>
      <c r="S216" s="11">
        <v>3.8399999999999997E-2</v>
      </c>
      <c r="T216" s="23"/>
      <c r="U216" s="10">
        <f t="shared" si="44"/>
        <v>0</v>
      </c>
      <c r="V216" s="26">
        <v>4</v>
      </c>
      <c r="W216" s="14" t="s">
        <v>40</v>
      </c>
      <c r="X216" s="15">
        <f t="shared" si="47"/>
        <v>3.8666666666666663</v>
      </c>
      <c r="Y216" s="16">
        <f t="shared" si="45"/>
        <v>0.52747252747252749</v>
      </c>
      <c r="Z216" s="15">
        <f t="shared" si="48"/>
        <v>0.50989010989010985</v>
      </c>
      <c r="AA216" s="12">
        <f>T216+X216</f>
        <v>3.8666666666666663</v>
      </c>
      <c r="AB216" s="15">
        <f t="shared" si="49"/>
        <v>0.50989010989010985</v>
      </c>
      <c r="AC216" s="17">
        <f t="shared" si="50"/>
        <v>4.3956043956043953E-2</v>
      </c>
      <c r="AD216" s="23" t="s">
        <v>420</v>
      </c>
      <c r="AE216" s="8" t="s">
        <v>91</v>
      </c>
      <c r="AF216" s="14" t="s">
        <v>225</v>
      </c>
      <c r="AH216" s="14" t="s">
        <v>387</v>
      </c>
    </row>
    <row r="217" spans="1:34" s="14" customFormat="1" ht="28.8" x14ac:dyDescent="0.3">
      <c r="A217" s="19">
        <v>43951</v>
      </c>
      <c r="B217" s="14" t="s">
        <v>1128</v>
      </c>
      <c r="C217" s="14" t="s">
        <v>451</v>
      </c>
      <c r="D217" s="14" t="s">
        <v>452</v>
      </c>
      <c r="E217" s="14" t="s">
        <v>336</v>
      </c>
      <c r="F217" s="14" t="s">
        <v>63</v>
      </c>
      <c r="G217" s="14" t="s">
        <v>64</v>
      </c>
      <c r="H217" s="20">
        <v>11686</v>
      </c>
      <c r="I217" s="14" t="s">
        <v>39</v>
      </c>
      <c r="K217" s="21"/>
      <c r="L217" s="19">
        <v>44075</v>
      </c>
      <c r="M217" s="19">
        <v>48091</v>
      </c>
      <c r="N217" s="19"/>
      <c r="O217" s="14">
        <v>132</v>
      </c>
      <c r="P217" s="22">
        <v>11.58</v>
      </c>
      <c r="Q217" s="10">
        <v>10.92</v>
      </c>
      <c r="R217" s="10">
        <f t="shared" si="51"/>
        <v>22.5</v>
      </c>
      <c r="S217" s="15">
        <v>0.5</v>
      </c>
      <c r="T217" s="12">
        <v>55</v>
      </c>
      <c r="U217" s="10">
        <f t="shared" si="44"/>
        <v>5</v>
      </c>
      <c r="V217" s="26">
        <v>12</v>
      </c>
      <c r="X217" s="15">
        <f t="shared" si="47"/>
        <v>22.5</v>
      </c>
      <c r="Y217" s="16">
        <f t="shared" si="45"/>
        <v>1.0909090909090908</v>
      </c>
      <c r="Z217" s="15">
        <f t="shared" si="48"/>
        <v>2.0454545454545454</v>
      </c>
      <c r="AA217" s="12">
        <f>X217+T217</f>
        <v>77.5</v>
      </c>
      <c r="AB217" s="15">
        <f t="shared" si="49"/>
        <v>7.0454545454545459</v>
      </c>
      <c r="AC217" s="17">
        <f t="shared" si="50"/>
        <v>0.60841576385617835</v>
      </c>
      <c r="AD217" s="23" t="s">
        <v>453</v>
      </c>
      <c r="AE217" s="14" t="s">
        <v>136</v>
      </c>
      <c r="AF217" s="14" t="s">
        <v>1129</v>
      </c>
      <c r="AH217" s="14" t="s">
        <v>1130</v>
      </c>
    </row>
    <row r="218" spans="1:34" s="14" customFormat="1" x14ac:dyDescent="0.3">
      <c r="A218" s="19">
        <v>45120</v>
      </c>
      <c r="B218" s="14" t="s">
        <v>346</v>
      </c>
      <c r="C218" s="14" t="s">
        <v>347</v>
      </c>
      <c r="D218" s="14" t="s">
        <v>348</v>
      </c>
      <c r="E218" s="14" t="s">
        <v>36</v>
      </c>
      <c r="F218" s="14" t="s">
        <v>37</v>
      </c>
      <c r="G218" s="14" t="s">
        <v>64</v>
      </c>
      <c r="H218" s="20">
        <v>3852</v>
      </c>
      <c r="I218" s="14" t="s">
        <v>177</v>
      </c>
      <c r="K218" s="21">
        <v>45108</v>
      </c>
      <c r="L218" s="19">
        <v>45078</v>
      </c>
      <c r="M218" s="19">
        <v>46295</v>
      </c>
      <c r="N218" s="19"/>
      <c r="O218" s="14">
        <v>40</v>
      </c>
      <c r="P218" s="22">
        <v>16.5</v>
      </c>
      <c r="Q218" s="10">
        <v>13.03</v>
      </c>
      <c r="R218" s="10">
        <f t="shared" si="51"/>
        <v>29.53</v>
      </c>
      <c r="S218" s="15">
        <v>0.5</v>
      </c>
      <c r="T218" s="12">
        <v>12</v>
      </c>
      <c r="U218" s="10">
        <f t="shared" si="44"/>
        <v>3.5999999999999996</v>
      </c>
      <c r="V218" s="26">
        <v>4</v>
      </c>
      <c r="W218" s="14" t="s">
        <v>40</v>
      </c>
      <c r="X218" s="15">
        <f t="shared" si="47"/>
        <v>9.8433333333333337</v>
      </c>
      <c r="Y218" s="16">
        <f t="shared" si="45"/>
        <v>1.2</v>
      </c>
      <c r="Z218" s="15">
        <f t="shared" si="48"/>
        <v>2.9529999999999998</v>
      </c>
      <c r="AA218" s="12">
        <f>X218+T218</f>
        <v>21.843333333333334</v>
      </c>
      <c r="AB218" s="15">
        <f t="shared" si="49"/>
        <v>6.5529999999999999</v>
      </c>
      <c r="AC218" s="17">
        <f t="shared" si="50"/>
        <v>0.39715151515151514</v>
      </c>
      <c r="AD218" s="23" t="s">
        <v>349</v>
      </c>
      <c r="AE218" s="14" t="s">
        <v>42</v>
      </c>
      <c r="AF218" s="14" t="s">
        <v>56</v>
      </c>
      <c r="AH218" s="14" t="s">
        <v>58</v>
      </c>
    </row>
    <row r="219" spans="1:34" s="14" customFormat="1" ht="28.8" x14ac:dyDescent="0.3">
      <c r="A219" s="19">
        <v>45777</v>
      </c>
      <c r="B219" s="14" t="s">
        <v>155</v>
      </c>
      <c r="C219" s="14" t="s">
        <v>51</v>
      </c>
      <c r="D219" s="14" t="s">
        <v>52</v>
      </c>
      <c r="E219" s="14" t="s">
        <v>53</v>
      </c>
      <c r="F219" s="14" t="s">
        <v>54</v>
      </c>
      <c r="G219" s="14" t="s">
        <v>55</v>
      </c>
      <c r="H219" s="25">
        <v>18771</v>
      </c>
      <c r="I219" s="14" t="s">
        <v>39</v>
      </c>
      <c r="K219" s="57"/>
      <c r="L219" s="19">
        <v>45689</v>
      </c>
      <c r="M219" s="19">
        <v>49705</v>
      </c>
      <c r="N219" s="19"/>
      <c r="O219" s="14">
        <v>132</v>
      </c>
      <c r="P219" s="12">
        <v>20</v>
      </c>
      <c r="Q219" s="15">
        <v>12.99</v>
      </c>
      <c r="R219" s="10">
        <f t="shared" si="51"/>
        <v>32.99</v>
      </c>
      <c r="S219" s="15">
        <v>0.5</v>
      </c>
      <c r="T219" s="12">
        <v>85</v>
      </c>
      <c r="U219" s="10">
        <f t="shared" si="44"/>
        <v>7.7272727272727275</v>
      </c>
      <c r="V219" s="13">
        <v>14</v>
      </c>
      <c r="W219" s="52" t="s">
        <v>40</v>
      </c>
      <c r="X219" s="15">
        <f>(V219/12)*P219</f>
        <v>23.333333333333336</v>
      </c>
      <c r="Y219" s="16">
        <f t="shared" si="45"/>
        <v>1.2727272727272727</v>
      </c>
      <c r="Z219" s="15">
        <f t="shared" si="48"/>
        <v>2.1212121212121215</v>
      </c>
      <c r="AA219" s="12">
        <f>T219+X219</f>
        <v>108.33333333333334</v>
      </c>
      <c r="AB219" s="15">
        <f t="shared" si="49"/>
        <v>9.8484848484848495</v>
      </c>
      <c r="AC219" s="17">
        <f t="shared" si="50"/>
        <v>0.49242424242424249</v>
      </c>
      <c r="AD219" s="23"/>
    </row>
    <row r="220" spans="1:34" s="14" customFormat="1" x14ac:dyDescent="0.3">
      <c r="A220" s="19">
        <v>43951</v>
      </c>
      <c r="B220" s="14" t="s">
        <v>1090</v>
      </c>
      <c r="C220" s="14" t="s">
        <v>654</v>
      </c>
      <c r="D220" s="14" t="s">
        <v>655</v>
      </c>
      <c r="E220" s="14" t="s">
        <v>103</v>
      </c>
      <c r="F220" s="14" t="s">
        <v>37</v>
      </c>
      <c r="G220" s="14" t="s">
        <v>38</v>
      </c>
      <c r="H220" s="20">
        <v>10037</v>
      </c>
      <c r="I220" s="14" t="s">
        <v>39</v>
      </c>
      <c r="K220" s="21"/>
      <c r="L220" s="19">
        <v>43770</v>
      </c>
      <c r="M220" s="19">
        <v>47787</v>
      </c>
      <c r="N220" s="19"/>
      <c r="O220" s="14">
        <v>132</v>
      </c>
      <c r="P220" s="22">
        <v>18.25</v>
      </c>
      <c r="Q220" s="10">
        <v>8.49</v>
      </c>
      <c r="R220" s="10">
        <f t="shared" si="51"/>
        <v>26.740000000000002</v>
      </c>
      <c r="S220" s="15">
        <v>0.5</v>
      </c>
      <c r="T220" s="12">
        <v>52</v>
      </c>
      <c r="U220" s="10">
        <f t="shared" si="44"/>
        <v>4.7272727272727275</v>
      </c>
      <c r="V220" s="26">
        <v>12</v>
      </c>
      <c r="W220" s="14" t="s">
        <v>40</v>
      </c>
      <c r="X220" s="15">
        <f t="shared" ref="X220:X262" si="52">(V220/12)*R220</f>
        <v>26.740000000000002</v>
      </c>
      <c r="Y220" s="16">
        <f t="shared" si="45"/>
        <v>1.0909090909090908</v>
      </c>
      <c r="Z220" s="15">
        <f t="shared" si="48"/>
        <v>2.4309090909090911</v>
      </c>
      <c r="AA220" s="12">
        <f>T220+X220</f>
        <v>78.740000000000009</v>
      </c>
      <c r="AB220" s="15">
        <f t="shared" si="49"/>
        <v>7.1581818181818191</v>
      </c>
      <c r="AC220" s="17">
        <f t="shared" si="50"/>
        <v>0.39222914072229148</v>
      </c>
      <c r="AD220" s="23" t="s">
        <v>1091</v>
      </c>
      <c r="AE220" s="14" t="s">
        <v>538</v>
      </c>
      <c r="AG220" s="14" t="s">
        <v>39</v>
      </c>
      <c r="AH220" s="14" t="s">
        <v>92</v>
      </c>
    </row>
    <row r="221" spans="1:34" s="14" customFormat="1" ht="28.8" x14ac:dyDescent="0.3">
      <c r="A221" s="19">
        <v>44980</v>
      </c>
      <c r="B221" s="14" t="s">
        <v>412</v>
      </c>
      <c r="C221" s="14" t="s">
        <v>413</v>
      </c>
      <c r="D221" s="14" t="s">
        <v>373</v>
      </c>
      <c r="E221" s="14" t="s">
        <v>62</v>
      </c>
      <c r="F221" s="14" t="s">
        <v>63</v>
      </c>
      <c r="G221" s="14" t="s">
        <v>64</v>
      </c>
      <c r="H221" s="20">
        <v>7381</v>
      </c>
      <c r="I221" s="14" t="s">
        <v>414</v>
      </c>
      <c r="K221" s="21"/>
      <c r="L221" s="19">
        <v>45292</v>
      </c>
      <c r="M221" s="19">
        <v>47330</v>
      </c>
      <c r="N221" s="19"/>
      <c r="O221" s="14">
        <v>67</v>
      </c>
      <c r="P221" s="22">
        <v>18</v>
      </c>
      <c r="Q221" s="10"/>
      <c r="R221" s="10">
        <f t="shared" si="51"/>
        <v>18</v>
      </c>
      <c r="S221" s="15">
        <v>0.5</v>
      </c>
      <c r="T221" s="12">
        <v>15</v>
      </c>
      <c r="U221" s="10">
        <f t="shared" si="44"/>
        <v>2.6865671641791047</v>
      </c>
      <c r="V221" s="26">
        <v>7</v>
      </c>
      <c r="W221" s="14" t="s">
        <v>40</v>
      </c>
      <c r="X221" s="15">
        <f t="shared" si="52"/>
        <v>10.5</v>
      </c>
      <c r="Y221" s="16">
        <f t="shared" si="45"/>
        <v>1.2537313432835822</v>
      </c>
      <c r="Z221" s="15">
        <f t="shared" si="48"/>
        <v>1.8805970149253732</v>
      </c>
      <c r="AA221" s="12">
        <f>X221+T221</f>
        <v>25.5</v>
      </c>
      <c r="AB221" s="15">
        <f t="shared" si="49"/>
        <v>4.5671641791044779</v>
      </c>
      <c r="AC221" s="17">
        <f t="shared" si="50"/>
        <v>0.2537313432835821</v>
      </c>
      <c r="AD221" s="23" t="s">
        <v>374</v>
      </c>
      <c r="AE221" s="8" t="s">
        <v>91</v>
      </c>
      <c r="AF221" s="14" t="s">
        <v>131</v>
      </c>
      <c r="AH221" s="14" t="s">
        <v>387</v>
      </c>
    </row>
    <row r="222" spans="1:34" s="14" customFormat="1" ht="43.2" x14ac:dyDescent="0.3">
      <c r="A222" s="19">
        <v>44754</v>
      </c>
      <c r="B222" s="14" t="s">
        <v>605</v>
      </c>
      <c r="C222" s="14" t="s">
        <v>606</v>
      </c>
      <c r="D222" s="14" t="s">
        <v>606</v>
      </c>
      <c r="E222" s="14" t="s">
        <v>103</v>
      </c>
      <c r="F222" s="14" t="s">
        <v>37</v>
      </c>
      <c r="G222" s="14" t="s">
        <v>552</v>
      </c>
      <c r="H222" s="20">
        <v>6622</v>
      </c>
      <c r="I222" s="14" t="s">
        <v>39</v>
      </c>
      <c r="K222" s="21"/>
      <c r="L222" s="19">
        <v>44866</v>
      </c>
      <c r="M222" s="19">
        <v>47787</v>
      </c>
      <c r="N222" s="19"/>
      <c r="O222" s="14">
        <v>96</v>
      </c>
      <c r="P222" s="22">
        <v>16</v>
      </c>
      <c r="Q222" s="10">
        <v>12.31</v>
      </c>
      <c r="R222" s="10">
        <f t="shared" si="51"/>
        <v>28.310000000000002</v>
      </c>
      <c r="S222" s="15">
        <v>0.5</v>
      </c>
      <c r="T222" s="12">
        <v>80</v>
      </c>
      <c r="U222" s="10">
        <f t="shared" si="44"/>
        <v>10</v>
      </c>
      <c r="V222" s="13">
        <v>0</v>
      </c>
      <c r="X222" s="15">
        <f t="shared" si="52"/>
        <v>0</v>
      </c>
      <c r="Y222" s="16">
        <f t="shared" si="45"/>
        <v>0</v>
      </c>
      <c r="Z222" s="15">
        <f t="shared" si="48"/>
        <v>0</v>
      </c>
      <c r="AA222" s="12">
        <f>X222+T222</f>
        <v>80</v>
      </c>
      <c r="AB222" s="15">
        <f t="shared" si="49"/>
        <v>10</v>
      </c>
      <c r="AC222" s="17">
        <f t="shared" si="50"/>
        <v>0.625</v>
      </c>
      <c r="AD222" s="23" t="s">
        <v>492</v>
      </c>
      <c r="AE222" s="14" t="s">
        <v>42</v>
      </c>
      <c r="AF222" s="14" t="s">
        <v>607</v>
      </c>
      <c r="AG222" s="14" t="s">
        <v>608</v>
      </c>
      <c r="AH222" s="14" t="s">
        <v>490</v>
      </c>
    </row>
    <row r="223" spans="1:34" s="14" customFormat="1" ht="28.8" x14ac:dyDescent="0.3">
      <c r="A223" s="19">
        <v>44230</v>
      </c>
      <c r="B223" s="14" t="s">
        <v>855</v>
      </c>
      <c r="C223" s="14" t="s">
        <v>856</v>
      </c>
      <c r="D223" s="14" t="s">
        <v>655</v>
      </c>
      <c r="E223" s="14" t="s">
        <v>103</v>
      </c>
      <c r="F223" s="14" t="s">
        <v>37</v>
      </c>
      <c r="G223" s="14" t="s">
        <v>38</v>
      </c>
      <c r="H223" s="20">
        <v>12423</v>
      </c>
      <c r="I223" s="14" t="s">
        <v>39</v>
      </c>
      <c r="K223" s="21"/>
      <c r="L223" s="19">
        <v>44287</v>
      </c>
      <c r="M223" s="19">
        <v>46295</v>
      </c>
      <c r="N223" s="19"/>
      <c r="O223" s="14">
        <v>66</v>
      </c>
      <c r="P223" s="22">
        <v>19.38</v>
      </c>
      <c r="Q223" s="10">
        <v>7.12</v>
      </c>
      <c r="R223" s="10">
        <f t="shared" si="51"/>
        <v>26.5</v>
      </c>
      <c r="S223" s="15">
        <v>0.5</v>
      </c>
      <c r="T223" s="12">
        <v>0</v>
      </c>
      <c r="U223" s="10">
        <f t="shared" si="44"/>
        <v>0</v>
      </c>
      <c r="V223" s="26">
        <v>4</v>
      </c>
      <c r="W223" s="14" t="s">
        <v>40</v>
      </c>
      <c r="X223" s="15">
        <f t="shared" si="52"/>
        <v>8.8333333333333321</v>
      </c>
      <c r="Y223" s="16">
        <f t="shared" si="45"/>
        <v>0.72727272727272729</v>
      </c>
      <c r="Z223" s="15">
        <f t="shared" si="48"/>
        <v>1.6060606060606057</v>
      </c>
      <c r="AA223" s="12">
        <f>X223+T223</f>
        <v>8.8333333333333321</v>
      </c>
      <c r="AB223" s="15">
        <f t="shared" si="49"/>
        <v>1.6060606060606057</v>
      </c>
      <c r="AC223" s="17">
        <f t="shared" si="50"/>
        <v>8.2872064296212897E-2</v>
      </c>
      <c r="AD223" s="23" t="s">
        <v>857</v>
      </c>
      <c r="AE223" s="8" t="s">
        <v>91</v>
      </c>
      <c r="AF223" s="14" t="s">
        <v>795</v>
      </c>
      <c r="AG223" s="14" t="s">
        <v>858</v>
      </c>
      <c r="AH223" s="14" t="s">
        <v>797</v>
      </c>
    </row>
    <row r="224" spans="1:34" s="14" customFormat="1" ht="28.8" x14ac:dyDescent="0.3">
      <c r="A224" s="19">
        <v>44755</v>
      </c>
      <c r="B224" s="14" t="s">
        <v>604</v>
      </c>
      <c r="C224" s="14" t="s">
        <v>207</v>
      </c>
      <c r="D224" s="14" t="s">
        <v>208</v>
      </c>
      <c r="E224" s="14" t="s">
        <v>62</v>
      </c>
      <c r="F224" s="14" t="s">
        <v>63</v>
      </c>
      <c r="G224" s="14" t="s">
        <v>64</v>
      </c>
      <c r="H224" s="20">
        <v>13436</v>
      </c>
      <c r="I224" s="14" t="s">
        <v>74</v>
      </c>
      <c r="K224" s="21"/>
      <c r="L224" s="19">
        <v>44562</v>
      </c>
      <c r="M224" s="19">
        <v>47573</v>
      </c>
      <c r="N224" s="19"/>
      <c r="O224" s="14">
        <v>99</v>
      </c>
      <c r="P224" s="22">
        <v>21</v>
      </c>
      <c r="Q224" s="10">
        <v>17.100000000000001</v>
      </c>
      <c r="R224" s="10">
        <f t="shared" si="51"/>
        <v>38.1</v>
      </c>
      <c r="S224" s="15">
        <v>0.5</v>
      </c>
      <c r="T224" s="12">
        <v>0</v>
      </c>
      <c r="U224" s="10">
        <f t="shared" si="44"/>
        <v>0</v>
      </c>
      <c r="V224" s="26">
        <v>8</v>
      </c>
      <c r="W224" s="14" t="s">
        <v>40</v>
      </c>
      <c r="X224" s="15">
        <f t="shared" si="52"/>
        <v>25.4</v>
      </c>
      <c r="Y224" s="16">
        <f t="shared" si="45"/>
        <v>0.96969696969696972</v>
      </c>
      <c r="Z224" s="15">
        <f t="shared" si="48"/>
        <v>3.0787878787878786</v>
      </c>
      <c r="AA224" s="12">
        <f>T224+X224</f>
        <v>25.4</v>
      </c>
      <c r="AB224" s="15">
        <f t="shared" si="49"/>
        <v>3.0787878787878786</v>
      </c>
      <c r="AC224" s="17">
        <f t="shared" si="50"/>
        <v>0.14660894660894661</v>
      </c>
      <c r="AD224" s="23" t="s">
        <v>209</v>
      </c>
      <c r="AE224" s="14" t="s">
        <v>98</v>
      </c>
      <c r="AF224" s="14" t="s">
        <v>99</v>
      </c>
      <c r="AH224" s="14" t="s">
        <v>490</v>
      </c>
    </row>
    <row r="225" spans="1:34" s="14" customFormat="1" ht="28.8" x14ac:dyDescent="0.3">
      <c r="A225" s="19">
        <v>43951</v>
      </c>
      <c r="B225" s="14" t="s">
        <v>1113</v>
      </c>
      <c r="C225" s="14" t="s">
        <v>286</v>
      </c>
      <c r="D225" s="14" t="s">
        <v>738</v>
      </c>
      <c r="E225" s="14" t="s">
        <v>194</v>
      </c>
      <c r="F225" s="14" t="s">
        <v>63</v>
      </c>
      <c r="G225" s="14" t="s">
        <v>64</v>
      </c>
      <c r="H225" s="20">
        <v>7359</v>
      </c>
      <c r="I225" s="14" t="s">
        <v>39</v>
      </c>
      <c r="K225" s="21"/>
      <c r="L225" s="19">
        <v>43952</v>
      </c>
      <c r="M225" s="19">
        <v>47968</v>
      </c>
      <c r="N225" s="19"/>
      <c r="O225" s="14">
        <v>132</v>
      </c>
      <c r="P225" s="22">
        <v>22</v>
      </c>
      <c r="Q225" s="10">
        <v>15.08</v>
      </c>
      <c r="R225" s="10">
        <f t="shared" si="51"/>
        <v>37.08</v>
      </c>
      <c r="S225" s="15">
        <v>0.5</v>
      </c>
      <c r="T225" s="12">
        <v>65</v>
      </c>
      <c r="U225" s="10">
        <f t="shared" si="44"/>
        <v>5.9090909090909092</v>
      </c>
      <c r="V225" s="26">
        <v>12</v>
      </c>
      <c r="W225" s="14" t="s">
        <v>40</v>
      </c>
      <c r="X225" s="15">
        <f t="shared" si="52"/>
        <v>37.08</v>
      </c>
      <c r="Y225" s="16">
        <f t="shared" si="45"/>
        <v>1.0909090909090908</v>
      </c>
      <c r="Z225" s="15">
        <f t="shared" si="48"/>
        <v>3.3709090909090906</v>
      </c>
      <c r="AA225" s="12">
        <f>X225+T225</f>
        <v>102.08</v>
      </c>
      <c r="AB225" s="15">
        <f t="shared" si="49"/>
        <v>9.2799999999999994</v>
      </c>
      <c r="AC225" s="17">
        <f t="shared" si="50"/>
        <v>0.42181818181818181</v>
      </c>
      <c r="AD225" s="23" t="s">
        <v>734</v>
      </c>
      <c r="AE225" s="14" t="s">
        <v>42</v>
      </c>
      <c r="AF225" s="14" t="s">
        <v>1114</v>
      </c>
      <c r="AG225" s="14" t="s">
        <v>1115</v>
      </c>
    </row>
    <row r="226" spans="1:34" s="14" customFormat="1" ht="43.2" x14ac:dyDescent="0.3">
      <c r="A226" s="19">
        <v>44980</v>
      </c>
      <c r="B226" s="14" t="s">
        <v>427</v>
      </c>
      <c r="C226" s="14" t="s">
        <v>428</v>
      </c>
      <c r="D226" s="14" t="s">
        <v>148</v>
      </c>
      <c r="E226" s="14" t="s">
        <v>89</v>
      </c>
      <c r="F226" s="14" t="s">
        <v>90</v>
      </c>
      <c r="G226" s="14" t="s">
        <v>64</v>
      </c>
      <c r="H226" s="20">
        <v>23725</v>
      </c>
      <c r="I226" s="14" t="s">
        <v>39</v>
      </c>
      <c r="K226" s="21">
        <v>44958</v>
      </c>
      <c r="L226" s="19">
        <v>45078</v>
      </c>
      <c r="M226" s="19">
        <v>47999</v>
      </c>
      <c r="N226" s="19"/>
      <c r="O226" s="14">
        <v>96</v>
      </c>
      <c r="P226" s="22">
        <v>16.25</v>
      </c>
      <c r="Q226" s="10">
        <v>13.83</v>
      </c>
      <c r="R226" s="10">
        <f t="shared" si="51"/>
        <v>30.08</v>
      </c>
      <c r="S226" s="15">
        <v>0.5</v>
      </c>
      <c r="T226" s="12">
        <v>85</v>
      </c>
      <c r="U226" s="10">
        <f t="shared" si="44"/>
        <v>10.625</v>
      </c>
      <c r="V226" s="26">
        <v>12</v>
      </c>
      <c r="W226" s="14" t="s">
        <v>40</v>
      </c>
      <c r="X226" s="15">
        <f t="shared" si="52"/>
        <v>30.08</v>
      </c>
      <c r="Y226" s="16">
        <f t="shared" si="45"/>
        <v>1.5</v>
      </c>
      <c r="Z226" s="15">
        <f t="shared" si="48"/>
        <v>3.76</v>
      </c>
      <c r="AA226" s="12">
        <f>X226+T226</f>
        <v>115.08</v>
      </c>
      <c r="AB226" s="15">
        <f t="shared" si="49"/>
        <v>14.385</v>
      </c>
      <c r="AC226" s="17">
        <f t="shared" si="50"/>
        <v>0.88523076923076927</v>
      </c>
      <c r="AD226" s="23" t="s">
        <v>424</v>
      </c>
      <c r="AE226" s="8" t="s">
        <v>91</v>
      </c>
      <c r="AF226" s="14" t="s">
        <v>92</v>
      </c>
      <c r="AH226" s="14" t="s">
        <v>429</v>
      </c>
    </row>
    <row r="227" spans="1:34" s="14" customFormat="1" ht="57.6" x14ac:dyDescent="0.3">
      <c r="A227" s="19">
        <v>43951</v>
      </c>
      <c r="B227" s="14" t="s">
        <v>976</v>
      </c>
      <c r="C227" s="14" t="s">
        <v>977</v>
      </c>
      <c r="D227" s="14" t="s">
        <v>586</v>
      </c>
      <c r="E227" s="14" t="s">
        <v>62</v>
      </c>
      <c r="F227" s="14" t="s">
        <v>63</v>
      </c>
      <c r="G227" s="14" t="s">
        <v>64</v>
      </c>
      <c r="H227" s="20">
        <v>11428</v>
      </c>
      <c r="I227" s="14" t="s">
        <v>74</v>
      </c>
      <c r="K227" s="21">
        <v>43466</v>
      </c>
      <c r="L227" s="19">
        <v>43709</v>
      </c>
      <c r="M227" s="19">
        <v>46356</v>
      </c>
      <c r="N227" s="19"/>
      <c r="O227" s="14">
        <v>87</v>
      </c>
      <c r="P227" s="22">
        <v>15</v>
      </c>
      <c r="Q227" s="10">
        <v>14.6</v>
      </c>
      <c r="R227" s="10">
        <f t="shared" si="51"/>
        <v>29.6</v>
      </c>
      <c r="S227" s="11">
        <v>0.03</v>
      </c>
      <c r="T227" s="12">
        <v>40</v>
      </c>
      <c r="U227" s="10">
        <f t="shared" si="44"/>
        <v>5.5172413793103452</v>
      </c>
      <c r="V227" s="26">
        <v>3.5</v>
      </c>
      <c r="W227" s="14" t="s">
        <v>40</v>
      </c>
      <c r="X227" s="15">
        <f t="shared" si="52"/>
        <v>8.6333333333333346</v>
      </c>
      <c r="Y227" s="16">
        <f t="shared" si="45"/>
        <v>0.48275862068965519</v>
      </c>
      <c r="Z227" s="15">
        <f t="shared" si="48"/>
        <v>1.1908045977011497</v>
      </c>
      <c r="AA227" s="12">
        <f>T227+X227</f>
        <v>48.633333333333333</v>
      </c>
      <c r="AB227" s="15">
        <f t="shared" si="49"/>
        <v>6.7080459770114942</v>
      </c>
      <c r="AC227" s="17">
        <f t="shared" si="50"/>
        <v>0.44720306513409963</v>
      </c>
      <c r="AD227" s="23" t="s">
        <v>978</v>
      </c>
      <c r="AE227" s="14" t="s">
        <v>98</v>
      </c>
      <c r="AG227" s="14" t="s">
        <v>979</v>
      </c>
    </row>
    <row r="228" spans="1:34" s="14" customFormat="1" ht="28.8" x14ac:dyDescent="0.3">
      <c r="A228" s="19">
        <v>46049</v>
      </c>
      <c r="B228" s="14" t="s">
        <v>1323</v>
      </c>
      <c r="C228" s="14" t="s">
        <v>222</v>
      </c>
      <c r="D228" s="14" t="s">
        <v>223</v>
      </c>
      <c r="E228" s="14" t="s">
        <v>194</v>
      </c>
      <c r="F228" s="14" t="s">
        <v>63</v>
      </c>
      <c r="G228" s="14" t="s">
        <v>64</v>
      </c>
      <c r="H228" s="20">
        <v>26022</v>
      </c>
      <c r="I228" s="14" t="s">
        <v>212</v>
      </c>
      <c r="K228" s="21"/>
      <c r="L228" s="19">
        <v>45413</v>
      </c>
      <c r="M228" s="19" t="s">
        <v>1330</v>
      </c>
      <c r="N228" s="19"/>
      <c r="O228" s="14">
        <v>112</v>
      </c>
      <c r="P228" s="22"/>
      <c r="Q228" s="10"/>
      <c r="R228" s="10">
        <v>20</v>
      </c>
      <c r="S228" s="15">
        <v>0.75</v>
      </c>
      <c r="T228" s="12">
        <v>0</v>
      </c>
      <c r="U228" s="10">
        <f t="shared" si="44"/>
        <v>0</v>
      </c>
      <c r="V228" s="26">
        <v>0</v>
      </c>
      <c r="W228" s="14" t="s">
        <v>40</v>
      </c>
      <c r="X228" s="15">
        <f t="shared" si="52"/>
        <v>0</v>
      </c>
      <c r="Y228" s="16">
        <f t="shared" si="45"/>
        <v>0</v>
      </c>
      <c r="Z228" s="15">
        <f t="shared" si="48"/>
        <v>0</v>
      </c>
      <c r="AA228" s="12">
        <f>X228+T228</f>
        <v>0</v>
      </c>
      <c r="AB228" s="15">
        <f t="shared" si="49"/>
        <v>0</v>
      </c>
      <c r="AC228" s="17" t="e">
        <f t="shared" si="50"/>
        <v>#DIV/0!</v>
      </c>
      <c r="AD228" s="23" t="s">
        <v>1331</v>
      </c>
      <c r="AE228" s="14" t="s">
        <v>91</v>
      </c>
      <c r="AF228" s="14" t="s">
        <v>225</v>
      </c>
      <c r="AH228" s="14" t="s">
        <v>394</v>
      </c>
    </row>
    <row r="229" spans="1:34" s="14" customFormat="1" ht="43.2" x14ac:dyDescent="0.3">
      <c r="A229" s="19">
        <v>45922</v>
      </c>
      <c r="B229" s="14" t="s">
        <v>1342</v>
      </c>
      <c r="C229" s="14" t="s">
        <v>182</v>
      </c>
      <c r="D229" s="14" t="s">
        <v>1343</v>
      </c>
      <c r="E229" s="14" t="s">
        <v>184</v>
      </c>
      <c r="F229" s="14" t="s">
        <v>37</v>
      </c>
      <c r="G229" s="14" t="s">
        <v>64</v>
      </c>
      <c r="H229" s="27">
        <v>8158</v>
      </c>
      <c r="I229" s="14" t="s">
        <v>74</v>
      </c>
      <c r="K229" s="21">
        <v>45901</v>
      </c>
      <c r="L229" s="19">
        <v>46143</v>
      </c>
      <c r="M229" s="19">
        <v>48913</v>
      </c>
      <c r="N229" s="19"/>
      <c r="O229" s="14">
        <v>91</v>
      </c>
      <c r="P229" s="41">
        <v>13</v>
      </c>
      <c r="Q229" s="42">
        <v>11.49</v>
      </c>
      <c r="R229" s="10">
        <f t="shared" ref="R229:R250" si="53">P229+Q229</f>
        <v>24.490000000000002</v>
      </c>
      <c r="S229" s="15">
        <v>0.5</v>
      </c>
      <c r="T229" s="12">
        <v>26</v>
      </c>
      <c r="U229" s="10">
        <f t="shared" si="44"/>
        <v>3.4285714285714288</v>
      </c>
      <c r="V229" s="13">
        <v>7</v>
      </c>
      <c r="W229" s="52" t="s">
        <v>40</v>
      </c>
      <c r="X229" s="15">
        <f t="shared" si="52"/>
        <v>14.285833333333336</v>
      </c>
      <c r="Y229" s="16">
        <f t="shared" si="45"/>
        <v>0.92307692307692313</v>
      </c>
      <c r="Z229" s="15">
        <f t="shared" ref="Z229:Z260" si="54">X229/(O229/12)</f>
        <v>1.8838461538461544</v>
      </c>
      <c r="AA229" s="12">
        <f>X229+T229</f>
        <v>40.285833333333336</v>
      </c>
      <c r="AB229" s="15">
        <f t="shared" ref="AB229:AB260" si="55">AA229/(O229/12)</f>
        <v>5.3124175824175834</v>
      </c>
      <c r="AC229" s="17">
        <f t="shared" ref="AC229:AC260" si="56">AB229/P229</f>
        <v>0.40864750633981411</v>
      </c>
      <c r="AD229" s="23" t="s">
        <v>185</v>
      </c>
      <c r="AE229" s="14" t="s">
        <v>42</v>
      </c>
      <c r="AF229" s="14" t="s">
        <v>56</v>
      </c>
      <c r="AG229" s="14" t="s">
        <v>1346</v>
      </c>
      <c r="AH229" s="14" t="s">
        <v>1344</v>
      </c>
    </row>
    <row r="230" spans="1:34" s="14" customFormat="1" ht="72" x14ac:dyDescent="0.3">
      <c r="A230" s="19">
        <v>43951</v>
      </c>
      <c r="B230" s="14" t="s">
        <v>1107</v>
      </c>
      <c r="C230" s="14" t="s">
        <v>207</v>
      </c>
      <c r="D230" s="14" t="s">
        <v>208</v>
      </c>
      <c r="E230" s="14" t="s">
        <v>62</v>
      </c>
      <c r="F230" s="14" t="s">
        <v>63</v>
      </c>
      <c r="G230" s="14" t="s">
        <v>64</v>
      </c>
      <c r="H230" s="20">
        <v>2603</v>
      </c>
      <c r="I230" s="14" t="s">
        <v>291</v>
      </c>
      <c r="K230" s="21">
        <v>43678</v>
      </c>
      <c r="L230" s="19">
        <v>43952</v>
      </c>
      <c r="M230" s="19">
        <v>47907</v>
      </c>
      <c r="N230" s="19"/>
      <c r="O230" s="14">
        <v>130</v>
      </c>
      <c r="P230" s="22">
        <v>19.25</v>
      </c>
      <c r="Q230" s="10">
        <v>17.09</v>
      </c>
      <c r="R230" s="10">
        <f t="shared" si="53"/>
        <v>36.340000000000003</v>
      </c>
      <c r="S230" s="15">
        <v>0.5</v>
      </c>
      <c r="T230" s="12">
        <v>0</v>
      </c>
      <c r="U230" s="10">
        <f t="shared" si="44"/>
        <v>0</v>
      </c>
      <c r="V230" s="26">
        <v>10</v>
      </c>
      <c r="W230" s="14" t="s">
        <v>169</v>
      </c>
      <c r="X230" s="15">
        <f t="shared" si="52"/>
        <v>30.283333333333339</v>
      </c>
      <c r="Y230" s="16">
        <f t="shared" si="45"/>
        <v>0.92307692307692302</v>
      </c>
      <c r="Z230" s="15">
        <f t="shared" si="54"/>
        <v>2.7953846153846156</v>
      </c>
      <c r="AA230" s="12">
        <f>X230+T230</f>
        <v>30.283333333333339</v>
      </c>
      <c r="AB230" s="15">
        <f t="shared" si="55"/>
        <v>2.7953846153846156</v>
      </c>
      <c r="AC230" s="17">
        <f t="shared" si="56"/>
        <v>0.14521478521478523</v>
      </c>
      <c r="AD230" s="23" t="s">
        <v>209</v>
      </c>
      <c r="AE230" s="8" t="s">
        <v>91</v>
      </c>
      <c r="AF230" s="14" t="s">
        <v>560</v>
      </c>
      <c r="AG230" s="14" t="s">
        <v>1108</v>
      </c>
      <c r="AH230" s="14" t="s">
        <v>1043</v>
      </c>
    </row>
    <row r="231" spans="1:34" s="14" customFormat="1" ht="43.2" x14ac:dyDescent="0.3">
      <c r="A231" s="19">
        <v>43951</v>
      </c>
      <c r="B231" s="14" t="s">
        <v>1107</v>
      </c>
      <c r="C231" s="14" t="s">
        <v>207</v>
      </c>
      <c r="D231" s="14" t="s">
        <v>208</v>
      </c>
      <c r="E231" s="14" t="s">
        <v>62</v>
      </c>
      <c r="F231" s="14" t="s">
        <v>63</v>
      </c>
      <c r="G231" s="14" t="s">
        <v>64</v>
      </c>
      <c r="H231" s="20">
        <v>14520</v>
      </c>
      <c r="I231" s="14" t="s">
        <v>488</v>
      </c>
      <c r="K231" s="21">
        <v>43678</v>
      </c>
      <c r="L231" s="19">
        <v>43952</v>
      </c>
      <c r="M231" s="19">
        <v>47907</v>
      </c>
      <c r="N231" s="19"/>
      <c r="O231" s="14">
        <v>130</v>
      </c>
      <c r="P231" s="22">
        <v>19.25</v>
      </c>
      <c r="Q231" s="10">
        <v>17.09</v>
      </c>
      <c r="R231" s="10">
        <f t="shared" si="53"/>
        <v>36.340000000000003</v>
      </c>
      <c r="S231" s="15">
        <v>0.5</v>
      </c>
      <c r="T231" s="12">
        <v>45</v>
      </c>
      <c r="U231" s="10">
        <f t="shared" si="44"/>
        <v>4.1538461538461533</v>
      </c>
      <c r="V231" s="26">
        <v>10</v>
      </c>
      <c r="W231" s="14" t="s">
        <v>169</v>
      </c>
      <c r="X231" s="15">
        <f t="shared" si="52"/>
        <v>30.283333333333339</v>
      </c>
      <c r="Y231" s="16">
        <f t="shared" si="45"/>
        <v>0.92307692307692302</v>
      </c>
      <c r="Z231" s="15">
        <f t="shared" si="54"/>
        <v>2.7953846153846156</v>
      </c>
      <c r="AA231" s="12">
        <f>T231+X231</f>
        <v>75.283333333333331</v>
      </c>
      <c r="AB231" s="15">
        <f t="shared" si="55"/>
        <v>6.9492307692307689</v>
      </c>
      <c r="AC231" s="17">
        <f t="shared" si="56"/>
        <v>0.36099900099900101</v>
      </c>
      <c r="AD231" s="23" t="s">
        <v>209</v>
      </c>
      <c r="AE231" s="8" t="s">
        <v>91</v>
      </c>
      <c r="AF231" s="14" t="s">
        <v>116</v>
      </c>
      <c r="AG231" s="14" t="s">
        <v>1109</v>
      </c>
      <c r="AH231" s="14" t="s">
        <v>441</v>
      </c>
    </row>
    <row r="232" spans="1:34" s="14" customFormat="1" ht="72" x14ac:dyDescent="0.3">
      <c r="A232" s="19">
        <v>44685</v>
      </c>
      <c r="B232" s="14" t="s">
        <v>627</v>
      </c>
      <c r="C232" s="14" t="s">
        <v>87</v>
      </c>
      <c r="D232" s="14" t="s">
        <v>88</v>
      </c>
      <c r="E232" s="14" t="s">
        <v>89</v>
      </c>
      <c r="F232" s="14" t="s">
        <v>90</v>
      </c>
      <c r="G232" s="14" t="s">
        <v>64</v>
      </c>
      <c r="H232" s="20">
        <v>28915</v>
      </c>
      <c r="I232" s="14" t="s">
        <v>39</v>
      </c>
      <c r="K232" s="21"/>
      <c r="L232" s="19">
        <v>44896</v>
      </c>
      <c r="M232" s="19">
        <v>49034</v>
      </c>
      <c r="N232" s="19"/>
      <c r="O232" s="14">
        <v>136</v>
      </c>
      <c r="P232" s="22">
        <v>14.25</v>
      </c>
      <c r="Q232" s="10">
        <v>14.28</v>
      </c>
      <c r="R232" s="10">
        <f t="shared" si="53"/>
        <v>28.53</v>
      </c>
      <c r="S232" s="15">
        <v>0.5</v>
      </c>
      <c r="T232" s="12">
        <v>78</v>
      </c>
      <c r="U232" s="10">
        <f t="shared" si="44"/>
        <v>6.8823529411764701</v>
      </c>
      <c r="V232" s="26">
        <v>16</v>
      </c>
      <c r="W232" s="14" t="s">
        <v>40</v>
      </c>
      <c r="X232" s="15">
        <f t="shared" si="52"/>
        <v>38.04</v>
      </c>
      <c r="Y232" s="16">
        <f t="shared" si="45"/>
        <v>1.4117647058823528</v>
      </c>
      <c r="Z232" s="15">
        <f t="shared" si="54"/>
        <v>3.3564705882352937</v>
      </c>
      <c r="AA232" s="12">
        <f>T232+X232</f>
        <v>116.03999999999999</v>
      </c>
      <c r="AB232" s="15">
        <f t="shared" si="55"/>
        <v>10.238823529411764</v>
      </c>
      <c r="AC232" s="17">
        <f t="shared" si="56"/>
        <v>0.71851393188854484</v>
      </c>
      <c r="AD232" s="23" t="s">
        <v>317</v>
      </c>
      <c r="AE232" s="14" t="s">
        <v>98</v>
      </c>
      <c r="AF232" s="14" t="s">
        <v>195</v>
      </c>
      <c r="AG232" s="14" t="s">
        <v>628</v>
      </c>
      <c r="AH232" s="14" t="s">
        <v>629</v>
      </c>
    </row>
    <row r="233" spans="1:34" s="14" customFormat="1" ht="28.8" x14ac:dyDescent="0.3">
      <c r="A233" s="19">
        <v>43951</v>
      </c>
      <c r="B233" s="14" t="s">
        <v>983</v>
      </c>
      <c r="C233" s="14" t="s">
        <v>984</v>
      </c>
      <c r="D233" s="14" t="s">
        <v>985</v>
      </c>
      <c r="E233" s="14" t="s">
        <v>986</v>
      </c>
      <c r="F233" s="14" t="s">
        <v>63</v>
      </c>
      <c r="G233" s="14" t="s">
        <v>64</v>
      </c>
      <c r="H233" s="20">
        <v>3511</v>
      </c>
      <c r="I233" s="14" t="s">
        <v>39</v>
      </c>
      <c r="K233" s="21">
        <v>43678</v>
      </c>
      <c r="L233" s="19">
        <v>43800</v>
      </c>
      <c r="M233" s="19">
        <v>46418</v>
      </c>
      <c r="N233" s="19"/>
      <c r="O233" s="14">
        <v>86</v>
      </c>
      <c r="P233" s="22">
        <v>14</v>
      </c>
      <c r="Q233" s="10">
        <v>12.93</v>
      </c>
      <c r="R233" s="10">
        <f t="shared" si="53"/>
        <v>26.93</v>
      </c>
      <c r="S233" s="15">
        <v>0.5</v>
      </c>
      <c r="T233" s="12">
        <v>65</v>
      </c>
      <c r="U233" s="10">
        <f t="shared" si="44"/>
        <v>9.0697674418604652</v>
      </c>
      <c r="V233" s="26">
        <v>2</v>
      </c>
      <c r="W233" s="14" t="s">
        <v>40</v>
      </c>
      <c r="X233" s="15">
        <f t="shared" si="52"/>
        <v>4.4883333333333333</v>
      </c>
      <c r="Y233" s="16">
        <f t="shared" si="45"/>
        <v>0.27906976744186046</v>
      </c>
      <c r="Z233" s="15">
        <f t="shared" si="54"/>
        <v>0.62627906976744185</v>
      </c>
      <c r="AA233" s="12">
        <f>X233+T233</f>
        <v>69.48833333333333</v>
      </c>
      <c r="AB233" s="15">
        <f t="shared" si="55"/>
        <v>9.6960465116279053</v>
      </c>
      <c r="AC233" s="17">
        <f t="shared" si="56"/>
        <v>0.69257475083056463</v>
      </c>
      <c r="AD233" s="23" t="s">
        <v>987</v>
      </c>
      <c r="AH233" s="14" t="s">
        <v>899</v>
      </c>
    </row>
    <row r="234" spans="1:34" s="14" customFormat="1" ht="28.8" x14ac:dyDescent="0.3">
      <c r="A234" s="19">
        <v>44539</v>
      </c>
      <c r="B234" s="14" t="s">
        <v>732</v>
      </c>
      <c r="C234" s="14" t="s">
        <v>286</v>
      </c>
      <c r="D234" s="14" t="s">
        <v>733</v>
      </c>
      <c r="E234" s="14" t="s">
        <v>194</v>
      </c>
      <c r="F234" s="14" t="s">
        <v>63</v>
      </c>
      <c r="G234" s="14" t="s">
        <v>64</v>
      </c>
      <c r="H234" s="20">
        <v>22043</v>
      </c>
      <c r="I234" s="14" t="s">
        <v>39</v>
      </c>
      <c r="K234" s="21"/>
      <c r="L234" s="19">
        <v>44562</v>
      </c>
      <c r="M234" s="19">
        <v>46934</v>
      </c>
      <c r="N234" s="19"/>
      <c r="O234" s="14">
        <v>78</v>
      </c>
      <c r="P234" s="22">
        <v>21</v>
      </c>
      <c r="Q234" s="10">
        <v>17.13</v>
      </c>
      <c r="R234" s="10">
        <f t="shared" si="53"/>
        <v>38.129999999999995</v>
      </c>
      <c r="S234" s="15">
        <v>0.5</v>
      </c>
      <c r="T234" s="12">
        <v>45</v>
      </c>
      <c r="U234" s="10">
        <f t="shared" si="44"/>
        <v>6.9230769230769234</v>
      </c>
      <c r="V234" s="26">
        <v>12</v>
      </c>
      <c r="W234" s="14" t="s">
        <v>40</v>
      </c>
      <c r="X234" s="15">
        <f t="shared" si="52"/>
        <v>38.129999999999995</v>
      </c>
      <c r="Y234" s="16">
        <f t="shared" si="45"/>
        <v>1.8461538461538463</v>
      </c>
      <c r="Z234" s="15">
        <f t="shared" si="54"/>
        <v>5.8661538461538454</v>
      </c>
      <c r="AA234" s="12">
        <f>X234+T234</f>
        <v>83.13</v>
      </c>
      <c r="AB234" s="15">
        <f t="shared" si="55"/>
        <v>12.789230769230768</v>
      </c>
      <c r="AC234" s="17">
        <f t="shared" si="56"/>
        <v>0.60901098901098893</v>
      </c>
      <c r="AD234" s="23" t="s">
        <v>734</v>
      </c>
      <c r="AE234" s="14" t="s">
        <v>98</v>
      </c>
      <c r="AF234" s="14" t="s">
        <v>735</v>
      </c>
      <c r="AH234" s="14" t="s">
        <v>736</v>
      </c>
    </row>
    <row r="235" spans="1:34" s="14" customFormat="1" ht="28.8" x14ac:dyDescent="0.3">
      <c r="A235" s="19">
        <v>44980</v>
      </c>
      <c r="B235" s="14" t="s">
        <v>400</v>
      </c>
      <c r="C235" s="14" t="s">
        <v>401</v>
      </c>
      <c r="D235" s="8" t="s">
        <v>106</v>
      </c>
      <c r="E235" s="14" t="s">
        <v>62</v>
      </c>
      <c r="F235" s="14" t="s">
        <v>63</v>
      </c>
      <c r="G235" s="14" t="s">
        <v>64</v>
      </c>
      <c r="H235" s="20">
        <v>7920</v>
      </c>
      <c r="I235" s="14" t="s">
        <v>291</v>
      </c>
      <c r="K235" s="21"/>
      <c r="L235" s="19">
        <v>44986</v>
      </c>
      <c r="M235" s="19">
        <v>46904</v>
      </c>
      <c r="N235" s="19"/>
      <c r="O235" s="14">
        <v>63</v>
      </c>
      <c r="P235" s="22">
        <v>21</v>
      </c>
      <c r="Q235" s="10"/>
      <c r="R235" s="10">
        <f t="shared" si="53"/>
        <v>21</v>
      </c>
      <c r="S235" s="15">
        <v>0.5</v>
      </c>
      <c r="T235" s="12">
        <v>35</v>
      </c>
      <c r="U235" s="10">
        <f t="shared" si="44"/>
        <v>6.666666666666667</v>
      </c>
      <c r="V235" s="26">
        <v>6</v>
      </c>
      <c r="X235" s="15">
        <f t="shared" si="52"/>
        <v>10.5</v>
      </c>
      <c r="Y235" s="16">
        <f t="shared" si="45"/>
        <v>1.1428571428571428</v>
      </c>
      <c r="Z235" s="15">
        <f t="shared" si="54"/>
        <v>2</v>
      </c>
      <c r="AA235" s="12">
        <f>X235+T235</f>
        <v>45.5</v>
      </c>
      <c r="AB235" s="15">
        <f t="shared" si="55"/>
        <v>8.6666666666666661</v>
      </c>
      <c r="AC235" s="17">
        <f t="shared" si="56"/>
        <v>0.41269841269841268</v>
      </c>
      <c r="AD235" s="23" t="s">
        <v>402</v>
      </c>
      <c r="AE235" s="8" t="s">
        <v>91</v>
      </c>
      <c r="AF235" s="14" t="s">
        <v>225</v>
      </c>
      <c r="AH235" s="14" t="s">
        <v>387</v>
      </c>
    </row>
    <row r="236" spans="1:34" s="14" customFormat="1" ht="28.8" x14ac:dyDescent="0.3">
      <c r="A236" s="19">
        <v>44925</v>
      </c>
      <c r="B236" s="14" t="s">
        <v>513</v>
      </c>
      <c r="C236" s="14" t="s">
        <v>329</v>
      </c>
      <c r="D236" s="14" t="s">
        <v>330</v>
      </c>
      <c r="E236" s="14" t="s">
        <v>89</v>
      </c>
      <c r="F236" s="14" t="s">
        <v>90</v>
      </c>
      <c r="G236" s="14" t="s">
        <v>64</v>
      </c>
      <c r="H236" s="20">
        <v>12847</v>
      </c>
      <c r="I236" s="14" t="s">
        <v>39</v>
      </c>
      <c r="K236" s="21"/>
      <c r="L236" s="19">
        <v>44986</v>
      </c>
      <c r="M236" s="19">
        <v>47787</v>
      </c>
      <c r="N236" s="19"/>
      <c r="O236" s="14">
        <v>92</v>
      </c>
      <c r="P236" s="22">
        <v>10.5</v>
      </c>
      <c r="Q236" s="10">
        <v>11.09</v>
      </c>
      <c r="R236" s="10">
        <f t="shared" si="53"/>
        <v>21.59</v>
      </c>
      <c r="S236" s="15">
        <v>0.5</v>
      </c>
      <c r="T236" s="12">
        <v>42</v>
      </c>
      <c r="U236" s="10">
        <f t="shared" si="44"/>
        <v>5.4782608695652169</v>
      </c>
      <c r="V236" s="26">
        <v>8</v>
      </c>
      <c r="W236" s="14" t="s">
        <v>40</v>
      </c>
      <c r="X236" s="15">
        <f t="shared" si="52"/>
        <v>14.393333333333333</v>
      </c>
      <c r="Y236" s="16">
        <f t="shared" si="45"/>
        <v>1.0434782608695652</v>
      </c>
      <c r="Z236" s="15">
        <f t="shared" si="54"/>
        <v>1.8773913043478259</v>
      </c>
      <c r="AA236" s="12">
        <f>T236+X236</f>
        <v>56.393333333333331</v>
      </c>
      <c r="AB236" s="15">
        <f t="shared" si="55"/>
        <v>7.3556521739130432</v>
      </c>
      <c r="AC236" s="17">
        <f t="shared" si="56"/>
        <v>0.70053830227743263</v>
      </c>
      <c r="AD236" s="23" t="s">
        <v>369</v>
      </c>
      <c r="AE236" s="14" t="s">
        <v>157</v>
      </c>
      <c r="AF236" s="14" t="s">
        <v>514</v>
      </c>
      <c r="AG236" s="14" t="s">
        <v>354</v>
      </c>
    </row>
    <row r="237" spans="1:34" s="14" customFormat="1" ht="57.6" x14ac:dyDescent="0.3">
      <c r="A237" s="19">
        <v>45216</v>
      </c>
      <c r="B237" s="14" t="s">
        <v>315</v>
      </c>
      <c r="C237" s="14" t="s">
        <v>87</v>
      </c>
      <c r="D237" s="14" t="s">
        <v>316</v>
      </c>
      <c r="E237" s="14" t="s">
        <v>89</v>
      </c>
      <c r="F237" s="14" t="s">
        <v>90</v>
      </c>
      <c r="G237" s="14" t="s">
        <v>64</v>
      </c>
      <c r="H237" s="20">
        <v>6430</v>
      </c>
      <c r="I237" s="14" t="s">
        <v>74</v>
      </c>
      <c r="K237" s="21"/>
      <c r="L237" s="19">
        <v>45566</v>
      </c>
      <c r="M237" s="19">
        <v>46965</v>
      </c>
      <c r="N237" s="19"/>
      <c r="O237" s="14">
        <v>46</v>
      </c>
      <c r="P237" s="22">
        <v>11.66</v>
      </c>
      <c r="Q237" s="10"/>
      <c r="R237" s="10">
        <f t="shared" si="53"/>
        <v>11.66</v>
      </c>
      <c r="S237" s="15">
        <v>0.5</v>
      </c>
      <c r="T237" s="12">
        <v>15</v>
      </c>
      <c r="U237" s="10">
        <f t="shared" si="44"/>
        <v>3.9130434782608696</v>
      </c>
      <c r="V237" s="26">
        <v>6</v>
      </c>
      <c r="X237" s="15">
        <f t="shared" si="52"/>
        <v>5.83</v>
      </c>
      <c r="Y237" s="16">
        <f t="shared" si="45"/>
        <v>1.5652173913043477</v>
      </c>
      <c r="Z237" s="15">
        <f t="shared" si="54"/>
        <v>1.5208695652173914</v>
      </c>
      <c r="AA237" s="12">
        <f>T237+X237</f>
        <v>20.83</v>
      </c>
      <c r="AB237" s="15">
        <f t="shared" si="55"/>
        <v>5.4339130434782605</v>
      </c>
      <c r="AC237" s="17">
        <f t="shared" si="56"/>
        <v>0.46603027817137738</v>
      </c>
      <c r="AD237" s="23" t="s">
        <v>317</v>
      </c>
      <c r="AE237" s="14" t="s">
        <v>186</v>
      </c>
      <c r="AG237" s="14" t="s">
        <v>318</v>
      </c>
      <c r="AH237" s="14" t="s">
        <v>56</v>
      </c>
    </row>
    <row r="238" spans="1:34" s="14" customFormat="1" x14ac:dyDescent="0.3">
      <c r="A238" s="19">
        <v>45281</v>
      </c>
      <c r="B238" s="14" t="s">
        <v>293</v>
      </c>
      <c r="C238" s="14" t="s">
        <v>207</v>
      </c>
      <c r="D238" s="14" t="s">
        <v>208</v>
      </c>
      <c r="E238" s="14" t="s">
        <v>62</v>
      </c>
      <c r="F238" s="14" t="s">
        <v>63</v>
      </c>
      <c r="G238" s="14" t="s">
        <v>64</v>
      </c>
      <c r="H238" s="27">
        <v>16342</v>
      </c>
      <c r="I238" s="19" t="s">
        <v>291</v>
      </c>
      <c r="J238" s="19"/>
      <c r="K238" s="21"/>
      <c r="L238" s="19">
        <v>45292</v>
      </c>
      <c r="M238" s="19"/>
      <c r="N238" s="19"/>
      <c r="O238" s="14">
        <v>98</v>
      </c>
      <c r="P238" s="12">
        <v>18.25</v>
      </c>
      <c r="Q238" s="15">
        <v>18.43</v>
      </c>
      <c r="R238" s="10">
        <f t="shared" si="53"/>
        <v>36.68</v>
      </c>
      <c r="S238" s="15">
        <v>0.5</v>
      </c>
      <c r="T238" s="12">
        <v>60</v>
      </c>
      <c r="U238" s="10">
        <f t="shared" si="44"/>
        <v>7.3469387755102042</v>
      </c>
      <c r="V238" s="26">
        <v>11</v>
      </c>
      <c r="W238" s="52" t="s">
        <v>40</v>
      </c>
      <c r="X238" s="15">
        <f t="shared" si="52"/>
        <v>33.623333333333335</v>
      </c>
      <c r="Y238" s="16">
        <f t="shared" si="45"/>
        <v>1.3469387755102042</v>
      </c>
      <c r="Z238" s="15">
        <f t="shared" si="54"/>
        <v>4.1171428571428574</v>
      </c>
      <c r="AA238" s="12">
        <f>X238+T238</f>
        <v>93.623333333333335</v>
      </c>
      <c r="AB238" s="15">
        <f t="shared" si="55"/>
        <v>11.464081632653063</v>
      </c>
      <c r="AC238" s="17">
        <f t="shared" si="56"/>
        <v>0.62816885658372945</v>
      </c>
      <c r="AD238" s="23" t="s">
        <v>209</v>
      </c>
      <c r="AE238" s="14" t="s">
        <v>98</v>
      </c>
      <c r="AF238" s="14" t="s">
        <v>294</v>
      </c>
    </row>
    <row r="239" spans="1:34" s="14" customFormat="1" ht="28.8" x14ac:dyDescent="0.3">
      <c r="A239" s="19">
        <v>44224</v>
      </c>
      <c r="B239" s="14" t="s">
        <v>293</v>
      </c>
      <c r="C239" s="14" t="s">
        <v>207</v>
      </c>
      <c r="D239" s="14" t="s">
        <v>208</v>
      </c>
      <c r="E239" s="14" t="s">
        <v>62</v>
      </c>
      <c r="F239" s="14" t="s">
        <v>63</v>
      </c>
      <c r="G239" s="14" t="s">
        <v>64</v>
      </c>
      <c r="H239" s="20">
        <v>141203</v>
      </c>
      <c r="I239" s="14" t="s">
        <v>74</v>
      </c>
      <c r="K239" s="21"/>
      <c r="L239" s="19">
        <v>44256</v>
      </c>
      <c r="M239" s="19">
        <v>48272</v>
      </c>
      <c r="N239" s="19"/>
      <c r="O239" s="14">
        <v>132</v>
      </c>
      <c r="P239" s="22">
        <v>20.25</v>
      </c>
      <c r="Q239" s="10">
        <v>16.96</v>
      </c>
      <c r="R239" s="10">
        <f t="shared" si="53"/>
        <v>37.21</v>
      </c>
      <c r="S239" s="15">
        <v>0.5</v>
      </c>
      <c r="T239" s="12">
        <v>60</v>
      </c>
      <c r="U239" s="10">
        <f t="shared" si="44"/>
        <v>5.4545454545454541</v>
      </c>
      <c r="V239" s="26">
        <v>15</v>
      </c>
      <c r="W239" s="14" t="s">
        <v>40</v>
      </c>
      <c r="X239" s="15">
        <f t="shared" si="52"/>
        <v>46.512500000000003</v>
      </c>
      <c r="Y239" s="16">
        <f t="shared" si="45"/>
        <v>1.3636363636363635</v>
      </c>
      <c r="Z239" s="15">
        <f t="shared" si="54"/>
        <v>4.228409090909091</v>
      </c>
      <c r="AA239" s="12">
        <f>X239+T239</f>
        <v>106.5125</v>
      </c>
      <c r="AB239" s="15">
        <f t="shared" si="55"/>
        <v>9.682954545454546</v>
      </c>
      <c r="AC239" s="17">
        <f t="shared" si="56"/>
        <v>0.47817059483726154</v>
      </c>
      <c r="AD239" s="23" t="s">
        <v>209</v>
      </c>
      <c r="AE239" s="14" t="s">
        <v>98</v>
      </c>
      <c r="AF239" s="14" t="s">
        <v>866</v>
      </c>
      <c r="AH239" s="14" t="s">
        <v>867</v>
      </c>
    </row>
    <row r="240" spans="1:34" s="14" customFormat="1" x14ac:dyDescent="0.3">
      <c r="A240" s="19">
        <v>45201</v>
      </c>
      <c r="B240" s="14" t="s">
        <v>319</v>
      </c>
      <c r="C240" s="14" t="s">
        <v>320</v>
      </c>
      <c r="D240" s="14" t="s">
        <v>321</v>
      </c>
      <c r="E240" s="14" t="s">
        <v>322</v>
      </c>
      <c r="F240" s="14" t="s">
        <v>63</v>
      </c>
      <c r="G240" s="14" t="s">
        <v>64</v>
      </c>
      <c r="H240" s="20">
        <v>9353</v>
      </c>
      <c r="I240" s="14" t="s">
        <v>39</v>
      </c>
      <c r="K240" s="21"/>
      <c r="L240" s="19">
        <v>45170</v>
      </c>
      <c r="M240" s="19">
        <v>47177</v>
      </c>
      <c r="N240" s="19"/>
      <c r="O240" s="14">
        <v>66</v>
      </c>
      <c r="P240" s="22">
        <v>16.5</v>
      </c>
      <c r="Q240" s="10">
        <v>20.04</v>
      </c>
      <c r="R240" s="10">
        <f t="shared" si="53"/>
        <v>36.54</v>
      </c>
      <c r="S240" s="15">
        <v>0.5</v>
      </c>
      <c r="T240" s="12">
        <v>25.5</v>
      </c>
      <c r="U240" s="10">
        <f t="shared" si="44"/>
        <v>4.6363636363636367</v>
      </c>
      <c r="V240" s="26">
        <v>6</v>
      </c>
      <c r="W240" s="14" t="s">
        <v>40</v>
      </c>
      <c r="X240" s="15">
        <f t="shared" si="52"/>
        <v>18.27</v>
      </c>
      <c r="Y240" s="16">
        <f t="shared" si="45"/>
        <v>1.0909090909090908</v>
      </c>
      <c r="Z240" s="15">
        <f t="shared" si="54"/>
        <v>3.3218181818181818</v>
      </c>
      <c r="AA240" s="12">
        <f>T240+X240</f>
        <v>43.769999999999996</v>
      </c>
      <c r="AB240" s="15">
        <f t="shared" si="55"/>
        <v>7.9581818181818171</v>
      </c>
      <c r="AC240" s="17">
        <f t="shared" si="56"/>
        <v>0.48231404958677682</v>
      </c>
      <c r="AD240" s="23" t="s">
        <v>323</v>
      </c>
      <c r="AE240" s="14" t="s">
        <v>42</v>
      </c>
      <c r="AF240" s="14" t="s">
        <v>158</v>
      </c>
      <c r="AH240" s="14" t="s">
        <v>159</v>
      </c>
    </row>
    <row r="241" spans="1:34" s="14" customFormat="1" x14ac:dyDescent="0.3">
      <c r="A241" s="19">
        <v>43951</v>
      </c>
      <c r="B241" s="14" t="s">
        <v>1008</v>
      </c>
      <c r="C241" s="14" t="s">
        <v>901</v>
      </c>
      <c r="D241" s="14" t="s">
        <v>902</v>
      </c>
      <c r="E241" s="14" t="s">
        <v>194</v>
      </c>
      <c r="F241" s="14" t="s">
        <v>63</v>
      </c>
      <c r="G241" s="14" t="s">
        <v>64</v>
      </c>
      <c r="H241" s="20">
        <v>9104</v>
      </c>
      <c r="I241" s="14" t="s">
        <v>74</v>
      </c>
      <c r="K241" s="21">
        <v>43647</v>
      </c>
      <c r="L241" s="19">
        <v>44501</v>
      </c>
      <c r="M241" s="19">
        <v>46811</v>
      </c>
      <c r="N241" s="19"/>
      <c r="O241" s="14">
        <v>76</v>
      </c>
      <c r="P241" s="22">
        <v>6.41</v>
      </c>
      <c r="Q241" s="10">
        <v>16.59</v>
      </c>
      <c r="R241" s="10">
        <f t="shared" si="53"/>
        <v>23</v>
      </c>
      <c r="S241" s="11">
        <v>0.03</v>
      </c>
      <c r="T241" s="12">
        <v>17.5</v>
      </c>
      <c r="U241" s="10">
        <f t="shared" si="44"/>
        <v>2.763157894736842</v>
      </c>
      <c r="V241" s="26">
        <v>4</v>
      </c>
      <c r="W241" s="14" t="s">
        <v>40</v>
      </c>
      <c r="X241" s="15">
        <f t="shared" si="52"/>
        <v>7.6666666666666661</v>
      </c>
      <c r="Y241" s="16">
        <f t="shared" si="45"/>
        <v>0.63157894736842113</v>
      </c>
      <c r="Z241" s="15">
        <f t="shared" si="54"/>
        <v>1.2105263157894737</v>
      </c>
      <c r="AA241" s="12">
        <f>X241+T241</f>
        <v>25.166666666666664</v>
      </c>
      <c r="AB241" s="15">
        <f t="shared" si="55"/>
        <v>3.9736842105263155</v>
      </c>
      <c r="AC241" s="17">
        <f t="shared" si="56"/>
        <v>0.61991953362345009</v>
      </c>
      <c r="AD241" s="23" t="s">
        <v>1009</v>
      </c>
      <c r="AH241" s="14" t="s">
        <v>1010</v>
      </c>
    </row>
    <row r="242" spans="1:34" s="14" customFormat="1" ht="28.8" x14ac:dyDescent="0.3">
      <c r="A242" s="19">
        <v>44417</v>
      </c>
      <c r="B242" s="14" t="s">
        <v>781</v>
      </c>
      <c r="C242" s="14" t="s">
        <v>782</v>
      </c>
      <c r="D242" s="14" t="s">
        <v>783</v>
      </c>
      <c r="E242" s="14" t="s">
        <v>103</v>
      </c>
      <c r="F242" s="14" t="s">
        <v>37</v>
      </c>
      <c r="G242" s="14" t="s">
        <v>38</v>
      </c>
      <c r="H242" s="20">
        <v>9498</v>
      </c>
      <c r="I242" s="14" t="s">
        <v>39</v>
      </c>
      <c r="K242" s="21"/>
      <c r="L242" s="19">
        <v>44501</v>
      </c>
      <c r="M242" s="19">
        <v>47238</v>
      </c>
      <c r="N242" s="19"/>
      <c r="O242" s="14">
        <v>90</v>
      </c>
      <c r="P242" s="22">
        <v>19</v>
      </c>
      <c r="Q242" s="10">
        <v>13.46</v>
      </c>
      <c r="R242" s="10">
        <f t="shared" si="53"/>
        <v>32.46</v>
      </c>
      <c r="S242" s="11">
        <v>2.5000000000000001E-2</v>
      </c>
      <c r="T242" s="12">
        <v>40</v>
      </c>
      <c r="U242" s="10">
        <f t="shared" si="44"/>
        <v>5.333333333333333</v>
      </c>
      <c r="V242" s="26">
        <v>6</v>
      </c>
      <c r="W242" s="14" t="s">
        <v>40</v>
      </c>
      <c r="X242" s="15">
        <f t="shared" si="52"/>
        <v>16.23</v>
      </c>
      <c r="Y242" s="16">
        <f t="shared" si="45"/>
        <v>0.8</v>
      </c>
      <c r="Z242" s="15">
        <f t="shared" si="54"/>
        <v>2.1640000000000001</v>
      </c>
      <c r="AA242" s="12">
        <f>X242+T242</f>
        <v>56.230000000000004</v>
      </c>
      <c r="AB242" s="15">
        <f t="shared" si="55"/>
        <v>7.4973333333333336</v>
      </c>
      <c r="AC242" s="17">
        <f t="shared" si="56"/>
        <v>0.39459649122807017</v>
      </c>
      <c r="AD242" s="23" t="s">
        <v>784</v>
      </c>
      <c r="AE242" s="14" t="s">
        <v>42</v>
      </c>
      <c r="AF242" s="14" t="s">
        <v>140</v>
      </c>
      <c r="AG242" s="14" t="s">
        <v>785</v>
      </c>
      <c r="AH242" s="14" t="s">
        <v>786</v>
      </c>
    </row>
    <row r="243" spans="1:34" s="14" customFormat="1" ht="57.6" x14ac:dyDescent="0.3">
      <c r="A243" s="19">
        <v>44307</v>
      </c>
      <c r="B243" s="14" t="s">
        <v>815</v>
      </c>
      <c r="C243" s="14" t="s">
        <v>87</v>
      </c>
      <c r="D243" s="14" t="s">
        <v>316</v>
      </c>
      <c r="E243" s="14" t="s">
        <v>89</v>
      </c>
      <c r="F243" s="14" t="s">
        <v>90</v>
      </c>
      <c r="G243" s="14" t="s">
        <v>64</v>
      </c>
      <c r="H243" s="20">
        <v>16087</v>
      </c>
      <c r="I243" s="14" t="s">
        <v>39</v>
      </c>
      <c r="K243" s="21"/>
      <c r="L243" s="19">
        <v>44287</v>
      </c>
      <c r="M243" s="19">
        <v>47514</v>
      </c>
      <c r="N243" s="19"/>
      <c r="O243" s="14">
        <v>106</v>
      </c>
      <c r="P243" s="22">
        <v>15</v>
      </c>
      <c r="Q243" s="10">
        <v>14.01</v>
      </c>
      <c r="R243" s="10">
        <f t="shared" si="53"/>
        <v>29.009999999999998</v>
      </c>
      <c r="S243" s="15">
        <v>0.5</v>
      </c>
      <c r="T243" s="12">
        <v>8</v>
      </c>
      <c r="U243" s="10">
        <f t="shared" si="44"/>
        <v>0.90566037735849048</v>
      </c>
      <c r="V243" s="13">
        <v>0</v>
      </c>
      <c r="X243" s="15">
        <f t="shared" si="52"/>
        <v>0</v>
      </c>
      <c r="Y243" s="16">
        <f t="shared" si="45"/>
        <v>0</v>
      </c>
      <c r="Z243" s="15">
        <f t="shared" si="54"/>
        <v>0</v>
      </c>
      <c r="AA243" s="12">
        <f>T243+X243</f>
        <v>8</v>
      </c>
      <c r="AB243" s="15">
        <f t="shared" si="55"/>
        <v>0.90566037735849048</v>
      </c>
      <c r="AC243" s="17">
        <f t="shared" si="56"/>
        <v>6.0377358490566031E-2</v>
      </c>
      <c r="AD243" s="23" t="s">
        <v>317</v>
      </c>
      <c r="AE243" s="14" t="s">
        <v>186</v>
      </c>
      <c r="AG243" s="14" t="s">
        <v>816</v>
      </c>
      <c r="AH243" s="14" t="s">
        <v>817</v>
      </c>
    </row>
    <row r="244" spans="1:34" s="14" customFormat="1" x14ac:dyDescent="0.3">
      <c r="A244" s="7">
        <v>45428</v>
      </c>
      <c r="B244" s="8" t="s">
        <v>206</v>
      </c>
      <c r="C244" s="8" t="s">
        <v>207</v>
      </c>
      <c r="D244" s="8" t="s">
        <v>208</v>
      </c>
      <c r="E244" s="8" t="s">
        <v>62</v>
      </c>
      <c r="F244" s="8" t="s">
        <v>63</v>
      </c>
      <c r="G244" s="8" t="s">
        <v>64</v>
      </c>
      <c r="H244" s="9">
        <v>2216</v>
      </c>
      <c r="I244" s="8" t="s">
        <v>39</v>
      </c>
      <c r="J244" s="8"/>
      <c r="K244" s="8"/>
      <c r="L244" s="7">
        <v>45536</v>
      </c>
      <c r="M244" s="7">
        <v>47514</v>
      </c>
      <c r="N244" s="7"/>
      <c r="O244" s="8">
        <v>65</v>
      </c>
      <c r="P244" s="54">
        <v>22</v>
      </c>
      <c r="Q244" s="55">
        <v>19.64</v>
      </c>
      <c r="R244" s="10">
        <f t="shared" si="53"/>
        <v>41.64</v>
      </c>
      <c r="S244" s="55">
        <v>0.5</v>
      </c>
      <c r="T244" s="12">
        <v>33.85</v>
      </c>
      <c r="U244" s="10">
        <f t="shared" si="44"/>
        <v>6.2492307692307696</v>
      </c>
      <c r="V244" s="26">
        <v>5</v>
      </c>
      <c r="W244" s="8" t="s">
        <v>40</v>
      </c>
      <c r="X244" s="15">
        <f t="shared" si="52"/>
        <v>17.350000000000001</v>
      </c>
      <c r="Y244" s="16">
        <f t="shared" si="45"/>
        <v>0.92307692307692302</v>
      </c>
      <c r="Z244" s="15">
        <f t="shared" si="54"/>
        <v>3.2030769230769232</v>
      </c>
      <c r="AA244" s="12">
        <f>X244+T244</f>
        <v>51.2</v>
      </c>
      <c r="AB244" s="15">
        <f t="shared" si="55"/>
        <v>9.4523076923076932</v>
      </c>
      <c r="AC244" s="17">
        <f t="shared" si="56"/>
        <v>0.42965034965034971</v>
      </c>
      <c r="AD244" s="23" t="s">
        <v>209</v>
      </c>
      <c r="AE244" s="8"/>
      <c r="AF244" s="8"/>
      <c r="AG244" s="8"/>
      <c r="AH244" s="8"/>
    </row>
    <row r="245" spans="1:34" s="14" customFormat="1" ht="28.8" x14ac:dyDescent="0.3">
      <c r="A245" s="19">
        <v>44980</v>
      </c>
      <c r="B245" s="14" t="s">
        <v>430</v>
      </c>
      <c r="C245" s="14" t="s">
        <v>431</v>
      </c>
      <c r="D245" s="14" t="s">
        <v>308</v>
      </c>
      <c r="E245" s="14" t="s">
        <v>243</v>
      </c>
      <c r="F245" s="14" t="s">
        <v>37</v>
      </c>
      <c r="G245" s="14" t="s">
        <v>64</v>
      </c>
      <c r="H245" s="20">
        <v>18087</v>
      </c>
      <c r="I245" s="14" t="s">
        <v>39</v>
      </c>
      <c r="K245" s="21">
        <v>44958</v>
      </c>
      <c r="L245" s="19">
        <v>45231</v>
      </c>
      <c r="M245" s="19">
        <v>48152</v>
      </c>
      <c r="N245" s="19"/>
      <c r="O245" s="14">
        <v>96</v>
      </c>
      <c r="P245" s="22">
        <v>16</v>
      </c>
      <c r="Q245" s="10">
        <v>16.690000000000001</v>
      </c>
      <c r="R245" s="10">
        <f t="shared" si="53"/>
        <v>32.69</v>
      </c>
      <c r="S245" s="15">
        <v>0.5</v>
      </c>
      <c r="T245" s="12">
        <v>60</v>
      </c>
      <c r="U245" s="10">
        <f t="shared" si="44"/>
        <v>7.5</v>
      </c>
      <c r="V245" s="26">
        <v>10</v>
      </c>
      <c r="W245" s="14" t="s">
        <v>40</v>
      </c>
      <c r="X245" s="15">
        <f t="shared" si="52"/>
        <v>27.241666666666667</v>
      </c>
      <c r="Y245" s="16">
        <f t="shared" si="45"/>
        <v>1.25</v>
      </c>
      <c r="Z245" s="15">
        <f t="shared" si="54"/>
        <v>3.4052083333333334</v>
      </c>
      <c r="AA245" s="12">
        <f>T245+X245</f>
        <v>87.241666666666674</v>
      </c>
      <c r="AB245" s="15">
        <f t="shared" si="55"/>
        <v>10.905208333333334</v>
      </c>
      <c r="AC245" s="17">
        <f t="shared" si="56"/>
        <v>0.68157552083333339</v>
      </c>
      <c r="AD245" s="23" t="s">
        <v>309</v>
      </c>
      <c r="AE245" s="8" t="s">
        <v>91</v>
      </c>
      <c r="AF245" s="14" t="s">
        <v>131</v>
      </c>
      <c r="AH245" s="14" t="s">
        <v>387</v>
      </c>
    </row>
    <row r="246" spans="1:34" s="14" customFormat="1" ht="28.8" x14ac:dyDescent="0.3">
      <c r="A246" s="19">
        <v>44980</v>
      </c>
      <c r="B246" s="14" t="s">
        <v>395</v>
      </c>
      <c r="C246" s="14" t="s">
        <v>396</v>
      </c>
      <c r="D246" s="14" t="s">
        <v>397</v>
      </c>
      <c r="E246" s="14" t="s">
        <v>398</v>
      </c>
      <c r="F246" s="14" t="s">
        <v>90</v>
      </c>
      <c r="G246" s="14" t="s">
        <v>64</v>
      </c>
      <c r="H246" s="20">
        <v>6861</v>
      </c>
      <c r="I246" s="14" t="s">
        <v>74</v>
      </c>
      <c r="K246" s="21"/>
      <c r="L246" s="19">
        <v>44927</v>
      </c>
      <c r="M246" s="19">
        <v>46843</v>
      </c>
      <c r="N246" s="19"/>
      <c r="O246" s="14">
        <v>63</v>
      </c>
      <c r="P246" s="22">
        <v>13</v>
      </c>
      <c r="Q246" s="10"/>
      <c r="R246" s="10">
        <f t="shared" si="53"/>
        <v>13</v>
      </c>
      <c r="S246" s="15">
        <v>0.5</v>
      </c>
      <c r="T246" s="23"/>
      <c r="U246" s="10">
        <f t="shared" si="44"/>
        <v>0</v>
      </c>
      <c r="V246" s="26">
        <v>4</v>
      </c>
      <c r="W246" s="14" t="s">
        <v>40</v>
      </c>
      <c r="X246" s="15">
        <f t="shared" si="52"/>
        <v>4.333333333333333</v>
      </c>
      <c r="Y246" s="16">
        <f t="shared" si="45"/>
        <v>0.76190476190476186</v>
      </c>
      <c r="Z246" s="15">
        <f t="shared" si="54"/>
        <v>0.82539682539682535</v>
      </c>
      <c r="AA246" s="12">
        <f>T246+X246</f>
        <v>4.333333333333333</v>
      </c>
      <c r="AB246" s="15">
        <f t="shared" si="55"/>
        <v>0.82539682539682535</v>
      </c>
      <c r="AC246" s="17">
        <f t="shared" si="56"/>
        <v>6.3492063492063489E-2</v>
      </c>
      <c r="AD246" s="23" t="s">
        <v>399</v>
      </c>
      <c r="AE246" s="14" t="s">
        <v>186</v>
      </c>
      <c r="AH246" s="14" t="s">
        <v>387</v>
      </c>
    </row>
    <row r="247" spans="1:34" s="14" customFormat="1" ht="28.8" x14ac:dyDescent="0.3">
      <c r="A247" s="19">
        <v>44126</v>
      </c>
      <c r="B247" s="14" t="s">
        <v>889</v>
      </c>
      <c r="C247" s="14" t="s">
        <v>890</v>
      </c>
      <c r="D247" s="14" t="s">
        <v>622</v>
      </c>
      <c r="E247" s="14" t="s">
        <v>89</v>
      </c>
      <c r="F247" s="14" t="s">
        <v>90</v>
      </c>
      <c r="G247" s="14" t="s">
        <v>64</v>
      </c>
      <c r="H247" s="20">
        <v>6950</v>
      </c>
      <c r="I247" s="14" t="s">
        <v>39</v>
      </c>
      <c r="K247" s="21"/>
      <c r="L247" s="19">
        <v>44105</v>
      </c>
      <c r="M247" s="19">
        <v>46477</v>
      </c>
      <c r="N247" s="19"/>
      <c r="O247" s="14">
        <v>78</v>
      </c>
      <c r="P247" s="22">
        <v>17</v>
      </c>
      <c r="Q247" s="10">
        <v>11.21</v>
      </c>
      <c r="R247" s="10">
        <f t="shared" si="53"/>
        <v>28.21</v>
      </c>
      <c r="S247" s="15">
        <v>0.5</v>
      </c>
      <c r="T247" s="12">
        <v>60</v>
      </c>
      <c r="U247" s="10">
        <f t="shared" si="44"/>
        <v>9.2307692307692299</v>
      </c>
      <c r="V247" s="26">
        <v>6</v>
      </c>
      <c r="W247" s="14" t="s">
        <v>40</v>
      </c>
      <c r="X247" s="15">
        <f t="shared" si="52"/>
        <v>14.105</v>
      </c>
      <c r="Y247" s="16">
        <f t="shared" si="45"/>
        <v>0.92307692307692313</v>
      </c>
      <c r="Z247" s="15">
        <f t="shared" si="54"/>
        <v>2.17</v>
      </c>
      <c r="AA247" s="12">
        <f>T247+X247</f>
        <v>74.105000000000004</v>
      </c>
      <c r="AB247" s="15">
        <f t="shared" si="55"/>
        <v>11.400769230769232</v>
      </c>
      <c r="AC247" s="17">
        <f t="shared" si="56"/>
        <v>0.67063348416289603</v>
      </c>
      <c r="AD247" s="23" t="s">
        <v>439</v>
      </c>
      <c r="AE247" s="14" t="s">
        <v>590</v>
      </c>
      <c r="AF247" s="14" t="s">
        <v>891</v>
      </c>
      <c r="AG247" s="14" t="s">
        <v>354</v>
      </c>
      <c r="AH247" s="14" t="s">
        <v>892</v>
      </c>
    </row>
    <row r="248" spans="1:34" s="14" customFormat="1" ht="28.8" x14ac:dyDescent="0.3">
      <c r="A248" s="19">
        <v>44697</v>
      </c>
      <c r="B248" s="14" t="s">
        <v>621</v>
      </c>
      <c r="C248" s="14" t="s">
        <v>437</v>
      </c>
      <c r="D248" s="14" t="s">
        <v>622</v>
      </c>
      <c r="E248" s="14" t="s">
        <v>89</v>
      </c>
      <c r="F248" s="14" t="s">
        <v>90</v>
      </c>
      <c r="G248" s="14" t="s">
        <v>64</v>
      </c>
      <c r="H248" s="20">
        <v>22265</v>
      </c>
      <c r="I248" s="14" t="s">
        <v>39</v>
      </c>
      <c r="K248" s="21"/>
      <c r="L248" s="19">
        <v>44866</v>
      </c>
      <c r="M248" s="19">
        <v>47634</v>
      </c>
      <c r="N248" s="19"/>
      <c r="O248" s="14">
        <v>91</v>
      </c>
      <c r="P248" s="22">
        <v>16.850000000000001</v>
      </c>
      <c r="Q248" s="10">
        <v>11.16</v>
      </c>
      <c r="R248" s="10">
        <f t="shared" si="53"/>
        <v>28.01</v>
      </c>
      <c r="S248" s="15">
        <v>0.5</v>
      </c>
      <c r="T248" s="12">
        <v>80</v>
      </c>
      <c r="U248" s="10">
        <f t="shared" si="44"/>
        <v>10.549450549450549</v>
      </c>
      <c r="V248" s="26">
        <v>3</v>
      </c>
      <c r="W248" s="14" t="s">
        <v>40</v>
      </c>
      <c r="X248" s="15">
        <f t="shared" si="52"/>
        <v>7.0025000000000004</v>
      </c>
      <c r="Y248" s="16">
        <f t="shared" si="45"/>
        <v>0.39560439560439564</v>
      </c>
      <c r="Z248" s="15">
        <f t="shared" si="54"/>
        <v>0.92340659340659348</v>
      </c>
      <c r="AA248" s="12">
        <f>X248+T248</f>
        <v>87.002499999999998</v>
      </c>
      <c r="AB248" s="15">
        <f t="shared" si="55"/>
        <v>11.472857142857142</v>
      </c>
      <c r="AC248" s="17">
        <f t="shared" si="56"/>
        <v>0.6808817295464179</v>
      </c>
      <c r="AD248" s="23" t="s">
        <v>439</v>
      </c>
      <c r="AE248" s="14" t="s">
        <v>149</v>
      </c>
      <c r="AF248" s="14" t="s">
        <v>623</v>
      </c>
      <c r="AH248" s="14" t="s">
        <v>624</v>
      </c>
    </row>
    <row r="249" spans="1:34" s="14" customFormat="1" ht="28.8" x14ac:dyDescent="0.3">
      <c r="A249" s="19">
        <v>45244</v>
      </c>
      <c r="B249" s="14" t="s">
        <v>310</v>
      </c>
      <c r="C249" s="14" t="s">
        <v>311</v>
      </c>
      <c r="D249" s="14" t="s">
        <v>312</v>
      </c>
      <c r="E249" s="14" t="s">
        <v>144</v>
      </c>
      <c r="F249" s="14" t="s">
        <v>37</v>
      </c>
      <c r="G249" s="14" t="s">
        <v>64</v>
      </c>
      <c r="H249" s="27">
        <v>18401</v>
      </c>
      <c r="I249" s="14" t="s">
        <v>39</v>
      </c>
      <c r="K249" s="21">
        <v>45261</v>
      </c>
      <c r="L249" s="19">
        <v>45474</v>
      </c>
      <c r="M249" s="19">
        <v>48152</v>
      </c>
      <c r="N249" s="19"/>
      <c r="O249" s="14">
        <v>88</v>
      </c>
      <c r="P249" s="41">
        <v>16</v>
      </c>
      <c r="Q249" s="42">
        <v>15.18</v>
      </c>
      <c r="R249" s="10">
        <f t="shared" si="53"/>
        <v>31.18</v>
      </c>
      <c r="S249" s="15">
        <v>0.6</v>
      </c>
      <c r="T249" s="12">
        <v>95</v>
      </c>
      <c r="U249" s="10">
        <f t="shared" si="44"/>
        <v>12.954545454545455</v>
      </c>
      <c r="V249" s="13">
        <v>0</v>
      </c>
      <c r="W249" s="52"/>
      <c r="X249" s="15">
        <f t="shared" si="52"/>
        <v>0</v>
      </c>
      <c r="Y249" s="16">
        <f t="shared" si="45"/>
        <v>0</v>
      </c>
      <c r="Z249" s="15">
        <f t="shared" si="54"/>
        <v>0</v>
      </c>
      <c r="AA249" s="12">
        <f>T249+X249</f>
        <v>95</v>
      </c>
      <c r="AB249" s="15">
        <f t="shared" si="55"/>
        <v>12.954545454545455</v>
      </c>
      <c r="AC249" s="17">
        <f t="shared" si="56"/>
        <v>0.80965909090909094</v>
      </c>
      <c r="AD249" s="23" t="s">
        <v>224</v>
      </c>
      <c r="AE249" s="14" t="s">
        <v>42</v>
      </c>
      <c r="AF249" s="14" t="s">
        <v>313</v>
      </c>
      <c r="AG249" s="14" t="s">
        <v>314</v>
      </c>
      <c r="AH249" s="14" t="s">
        <v>58</v>
      </c>
    </row>
    <row r="250" spans="1:34" s="14" customFormat="1" ht="28.8" x14ac:dyDescent="0.3">
      <c r="A250" s="19">
        <v>45805</v>
      </c>
      <c r="B250" s="14" t="s">
        <v>130</v>
      </c>
      <c r="C250" s="14" t="s">
        <v>87</v>
      </c>
      <c r="D250" s="14" t="s">
        <v>88</v>
      </c>
      <c r="E250" s="14" t="s">
        <v>89</v>
      </c>
      <c r="F250" s="14" t="s">
        <v>90</v>
      </c>
      <c r="G250" s="14" t="s">
        <v>64</v>
      </c>
      <c r="H250" s="25">
        <v>22400</v>
      </c>
      <c r="I250" s="14" t="s">
        <v>39</v>
      </c>
      <c r="K250" s="57"/>
      <c r="L250" s="19">
        <v>45658</v>
      </c>
      <c r="M250" s="19">
        <v>50221</v>
      </c>
      <c r="N250" s="19"/>
      <c r="O250" s="14">
        <v>150</v>
      </c>
      <c r="P250" s="12">
        <v>15</v>
      </c>
      <c r="Q250" s="15"/>
      <c r="R250" s="10">
        <f t="shared" si="53"/>
        <v>15</v>
      </c>
      <c r="S250" s="15">
        <v>0.5</v>
      </c>
      <c r="T250" s="12">
        <v>110</v>
      </c>
      <c r="U250" s="10">
        <f t="shared" si="44"/>
        <v>8.8000000000000007</v>
      </c>
      <c r="V250" s="13">
        <v>16</v>
      </c>
      <c r="W250" s="52" t="s">
        <v>40</v>
      </c>
      <c r="X250" s="15">
        <f t="shared" si="52"/>
        <v>20</v>
      </c>
      <c r="Y250" s="16">
        <f t="shared" si="45"/>
        <v>1.28</v>
      </c>
      <c r="Z250" s="15">
        <f t="shared" si="54"/>
        <v>1.6</v>
      </c>
      <c r="AA250" s="12">
        <f>X250+T250</f>
        <v>130</v>
      </c>
      <c r="AB250" s="15">
        <f t="shared" si="55"/>
        <v>10.4</v>
      </c>
      <c r="AC250" s="17">
        <f t="shared" si="56"/>
        <v>0.69333333333333336</v>
      </c>
      <c r="AD250" s="23"/>
      <c r="AE250" s="14" t="s">
        <v>91</v>
      </c>
      <c r="AF250" s="14" t="s">
        <v>131</v>
      </c>
      <c r="AH250" s="14" t="s">
        <v>93</v>
      </c>
    </row>
    <row r="251" spans="1:34" s="14" customFormat="1" ht="28.8" x14ac:dyDescent="0.3">
      <c r="A251" s="19">
        <v>45566</v>
      </c>
      <c r="B251" s="14" t="s">
        <v>181</v>
      </c>
      <c r="C251" s="14" t="s">
        <v>182</v>
      </c>
      <c r="D251" s="14" t="s">
        <v>183</v>
      </c>
      <c r="E251" s="14" t="s">
        <v>184</v>
      </c>
      <c r="F251" s="14" t="s">
        <v>37</v>
      </c>
      <c r="G251" s="14" t="s">
        <v>64</v>
      </c>
      <c r="H251" s="27">
        <v>2704</v>
      </c>
      <c r="I251" s="14" t="s">
        <v>74</v>
      </c>
      <c r="K251" s="21">
        <v>45566</v>
      </c>
      <c r="L251" s="19">
        <v>45597</v>
      </c>
      <c r="M251" s="19">
        <v>46783</v>
      </c>
      <c r="N251" s="19"/>
      <c r="O251" s="14">
        <v>39</v>
      </c>
      <c r="P251" s="41">
        <f>R251-Q251</f>
        <v>12.5</v>
      </c>
      <c r="Q251" s="42">
        <v>12.5</v>
      </c>
      <c r="R251" s="10">
        <v>25</v>
      </c>
      <c r="S251" s="15">
        <v>0.5</v>
      </c>
      <c r="T251" s="12">
        <v>5</v>
      </c>
      <c r="U251" s="10">
        <f t="shared" si="44"/>
        <v>1.5384615384615385</v>
      </c>
      <c r="V251" s="13">
        <v>3</v>
      </c>
      <c r="W251" s="52" t="s">
        <v>40</v>
      </c>
      <c r="X251" s="15">
        <f t="shared" si="52"/>
        <v>6.25</v>
      </c>
      <c r="Y251" s="16">
        <f t="shared" si="45"/>
        <v>0.92307692307692313</v>
      </c>
      <c r="Z251" s="15">
        <f t="shared" si="54"/>
        <v>1.9230769230769231</v>
      </c>
      <c r="AA251" s="12">
        <f>T251+X251</f>
        <v>11.25</v>
      </c>
      <c r="AB251" s="15">
        <f t="shared" si="55"/>
        <v>3.4615384615384617</v>
      </c>
      <c r="AC251" s="17">
        <f t="shared" si="56"/>
        <v>0.27692307692307694</v>
      </c>
      <c r="AD251" s="23" t="s">
        <v>185</v>
      </c>
      <c r="AE251" s="14" t="s">
        <v>186</v>
      </c>
      <c r="AG251" s="14" t="s">
        <v>187</v>
      </c>
      <c r="AH251" s="14" t="s">
        <v>188</v>
      </c>
    </row>
    <row r="252" spans="1:34" s="14" customFormat="1" ht="43.2" x14ac:dyDescent="0.3">
      <c r="A252" s="19">
        <v>45322</v>
      </c>
      <c r="B252" s="14" t="s">
        <v>254</v>
      </c>
      <c r="C252" s="14" t="s">
        <v>255</v>
      </c>
      <c r="D252" s="14" t="s">
        <v>256</v>
      </c>
      <c r="E252" s="14" t="s">
        <v>144</v>
      </c>
      <c r="F252" s="14" t="s">
        <v>37</v>
      </c>
      <c r="G252" s="14" t="s">
        <v>64</v>
      </c>
      <c r="H252" s="27">
        <v>2762</v>
      </c>
      <c r="I252" s="14" t="s">
        <v>39</v>
      </c>
      <c r="K252" s="21">
        <v>45292</v>
      </c>
      <c r="L252" s="19">
        <v>45383</v>
      </c>
      <c r="M252" s="19">
        <v>46538</v>
      </c>
      <c r="N252" s="19"/>
      <c r="O252" s="14">
        <v>38</v>
      </c>
      <c r="P252" s="41"/>
      <c r="Q252" s="42">
        <v>13.71</v>
      </c>
      <c r="R252" s="10">
        <v>28.5</v>
      </c>
      <c r="S252" s="15">
        <v>0.5</v>
      </c>
      <c r="T252" s="12">
        <v>0</v>
      </c>
      <c r="U252" s="10">
        <f t="shared" si="44"/>
        <v>0</v>
      </c>
      <c r="V252" s="13">
        <v>2</v>
      </c>
      <c r="W252" s="52" t="s">
        <v>40</v>
      </c>
      <c r="X252" s="15">
        <f t="shared" si="52"/>
        <v>4.75</v>
      </c>
      <c r="Y252" s="16">
        <f t="shared" si="45"/>
        <v>0.63157894736842113</v>
      </c>
      <c r="Z252" s="15">
        <f t="shared" si="54"/>
        <v>1.5</v>
      </c>
      <c r="AA252" s="12">
        <f>T252+X252</f>
        <v>4.75</v>
      </c>
      <c r="AB252" s="15">
        <f t="shared" si="55"/>
        <v>1.5</v>
      </c>
      <c r="AC252" s="17" t="e">
        <f t="shared" si="56"/>
        <v>#DIV/0!</v>
      </c>
      <c r="AD252" s="23" t="s">
        <v>257</v>
      </c>
      <c r="AE252" s="14" t="s">
        <v>42</v>
      </c>
      <c r="AF252" s="14" t="s">
        <v>258</v>
      </c>
      <c r="AG252" s="14" t="s">
        <v>259</v>
      </c>
      <c r="AH252" s="14" t="s">
        <v>260</v>
      </c>
    </row>
    <row r="253" spans="1:34" s="14" customFormat="1" x14ac:dyDescent="0.3">
      <c r="A253" s="19">
        <v>45492</v>
      </c>
      <c r="B253" s="14" t="s">
        <v>198</v>
      </c>
      <c r="C253" s="14" t="s">
        <v>199</v>
      </c>
      <c r="D253" s="14" t="s">
        <v>200</v>
      </c>
      <c r="E253" s="14" t="s">
        <v>97</v>
      </c>
      <c r="F253" s="14" t="s">
        <v>97</v>
      </c>
      <c r="G253" s="14" t="s">
        <v>64</v>
      </c>
      <c r="H253" s="20">
        <v>3565</v>
      </c>
      <c r="I253" s="14" t="s">
        <v>74</v>
      </c>
      <c r="K253" s="21">
        <v>45474</v>
      </c>
      <c r="L253" s="19">
        <v>45748</v>
      </c>
      <c r="M253" s="19">
        <v>47726</v>
      </c>
      <c r="N253" s="19"/>
      <c r="O253" s="14">
        <v>65</v>
      </c>
      <c r="P253" s="22">
        <v>20</v>
      </c>
      <c r="Q253" s="10">
        <v>12.89</v>
      </c>
      <c r="R253" s="10">
        <f t="shared" ref="R253:R266" si="57">P253+Q253</f>
        <v>32.89</v>
      </c>
      <c r="S253" s="15">
        <v>0.5</v>
      </c>
      <c r="T253" s="12">
        <v>0</v>
      </c>
      <c r="U253" s="10">
        <f t="shared" si="44"/>
        <v>0</v>
      </c>
      <c r="V253" s="13">
        <v>5</v>
      </c>
      <c r="W253" s="52" t="s">
        <v>40</v>
      </c>
      <c r="X253" s="15">
        <f t="shared" si="52"/>
        <v>13.704166666666667</v>
      </c>
      <c r="Y253" s="16">
        <f t="shared" si="45"/>
        <v>0.92307692307692302</v>
      </c>
      <c r="Z253" s="15">
        <f t="shared" si="54"/>
        <v>2.5299999999999998</v>
      </c>
      <c r="AA253" s="12">
        <f>X253+T253</f>
        <v>13.704166666666667</v>
      </c>
      <c r="AB253" s="15">
        <f t="shared" si="55"/>
        <v>2.5299999999999998</v>
      </c>
      <c r="AC253" s="17">
        <f t="shared" si="56"/>
        <v>0.1265</v>
      </c>
      <c r="AD253" s="23" t="s">
        <v>201</v>
      </c>
      <c r="AE253" s="14" t="s">
        <v>42</v>
      </c>
      <c r="AF253" s="14" t="s">
        <v>56</v>
      </c>
      <c r="AH253" s="14" t="s">
        <v>58</v>
      </c>
    </row>
    <row r="254" spans="1:34" s="14" customFormat="1" ht="28.8" x14ac:dyDescent="0.3">
      <c r="A254" s="19">
        <v>44957</v>
      </c>
      <c r="B254" s="14" t="s">
        <v>446</v>
      </c>
      <c r="C254" s="14" t="s">
        <v>147</v>
      </c>
      <c r="D254" s="14" t="s">
        <v>366</v>
      </c>
      <c r="E254" s="14" t="s">
        <v>89</v>
      </c>
      <c r="F254" s="14" t="s">
        <v>90</v>
      </c>
      <c r="G254" s="14" t="s">
        <v>64</v>
      </c>
      <c r="H254" s="20">
        <v>44593</v>
      </c>
      <c r="I254" s="14" t="s">
        <v>74</v>
      </c>
      <c r="K254" s="21"/>
      <c r="L254" s="19">
        <v>45323</v>
      </c>
      <c r="M254" s="19">
        <v>46053</v>
      </c>
      <c r="N254" s="19"/>
      <c r="O254" s="14">
        <v>24</v>
      </c>
      <c r="P254" s="22">
        <v>15.5</v>
      </c>
      <c r="Q254" s="10">
        <v>14.120000000000001</v>
      </c>
      <c r="R254" s="10">
        <f t="shared" si="57"/>
        <v>29.62</v>
      </c>
      <c r="S254" s="15">
        <v>0.5</v>
      </c>
      <c r="T254" s="12">
        <v>0</v>
      </c>
      <c r="U254" s="10">
        <f t="shared" si="44"/>
        <v>0</v>
      </c>
      <c r="V254" s="26">
        <v>6</v>
      </c>
      <c r="W254" s="14" t="s">
        <v>40</v>
      </c>
      <c r="X254" s="15">
        <f t="shared" si="52"/>
        <v>14.81</v>
      </c>
      <c r="Y254" s="16">
        <f t="shared" si="45"/>
        <v>3</v>
      </c>
      <c r="Z254" s="15">
        <f t="shared" si="54"/>
        <v>7.4050000000000002</v>
      </c>
      <c r="AA254" s="12">
        <f>T254+X254</f>
        <v>14.81</v>
      </c>
      <c r="AB254" s="15">
        <f t="shared" si="55"/>
        <v>7.4050000000000002</v>
      </c>
      <c r="AC254" s="17">
        <f t="shared" si="56"/>
        <v>0.47774193548387101</v>
      </c>
      <c r="AD254" s="23" t="s">
        <v>367</v>
      </c>
      <c r="AE254" s="14" t="s">
        <v>447</v>
      </c>
      <c r="AF254" s="14" t="s">
        <v>448</v>
      </c>
      <c r="AH254" s="14" t="s">
        <v>449</v>
      </c>
    </row>
    <row r="255" spans="1:34" s="14" customFormat="1" ht="57.6" x14ac:dyDescent="0.3">
      <c r="A255" s="19">
        <v>43951</v>
      </c>
      <c r="B255" s="14" t="s">
        <v>1011</v>
      </c>
      <c r="C255" s="14" t="s">
        <v>757</v>
      </c>
      <c r="D255" s="14" t="s">
        <v>758</v>
      </c>
      <c r="E255" s="14" t="s">
        <v>144</v>
      </c>
      <c r="F255" s="14" t="s">
        <v>37</v>
      </c>
      <c r="G255" s="14" t="s">
        <v>64</v>
      </c>
      <c r="H255" s="20">
        <v>26658</v>
      </c>
      <c r="I255" s="14" t="s">
        <v>39</v>
      </c>
      <c r="K255" s="21"/>
      <c r="L255" s="19">
        <v>43983</v>
      </c>
      <c r="M255" s="19">
        <v>46904</v>
      </c>
      <c r="N255" s="19"/>
      <c r="O255" s="14">
        <v>96</v>
      </c>
      <c r="P255" s="22">
        <v>17</v>
      </c>
      <c r="Q255" s="10" t="s">
        <v>1012</v>
      </c>
      <c r="R255" s="10" t="e">
        <f t="shared" si="57"/>
        <v>#VALUE!</v>
      </c>
      <c r="S255" s="15">
        <v>0.5</v>
      </c>
      <c r="T255" s="12">
        <v>50</v>
      </c>
      <c r="U255" s="10">
        <f t="shared" si="44"/>
        <v>6.25</v>
      </c>
      <c r="V255" s="26">
        <v>15</v>
      </c>
      <c r="W255" s="14" t="s">
        <v>40</v>
      </c>
      <c r="X255" s="15" t="e">
        <f t="shared" si="52"/>
        <v>#VALUE!</v>
      </c>
      <c r="Y255" s="16">
        <f t="shared" si="45"/>
        <v>1.875</v>
      </c>
      <c r="Z255" s="15" t="e">
        <f t="shared" si="54"/>
        <v>#VALUE!</v>
      </c>
      <c r="AA255" s="12" t="e">
        <f>T255+X255</f>
        <v>#VALUE!</v>
      </c>
      <c r="AB255" s="15"/>
      <c r="AC255" s="17">
        <f t="shared" si="56"/>
        <v>0</v>
      </c>
      <c r="AD255" s="23" t="s">
        <v>1013</v>
      </c>
      <c r="AE255" s="8" t="s">
        <v>91</v>
      </c>
      <c r="AF255" s="14" t="s">
        <v>1014</v>
      </c>
      <c r="AG255" s="14" t="s">
        <v>1015</v>
      </c>
      <c r="AH255" s="14" t="s">
        <v>441</v>
      </c>
    </row>
    <row r="256" spans="1:34" s="14" customFormat="1" ht="28.8" x14ac:dyDescent="0.3">
      <c r="A256" s="19">
        <v>45084</v>
      </c>
      <c r="B256" s="14" t="s">
        <v>350</v>
      </c>
      <c r="C256" s="14" t="s">
        <v>351</v>
      </c>
      <c r="D256" s="14" t="s">
        <v>352</v>
      </c>
      <c r="E256" s="14" t="s">
        <v>239</v>
      </c>
      <c r="F256" s="14" t="s">
        <v>37</v>
      </c>
      <c r="G256" s="14" t="s">
        <v>38</v>
      </c>
      <c r="H256" s="20">
        <v>3671</v>
      </c>
      <c r="I256" s="14" t="s">
        <v>39</v>
      </c>
      <c r="K256" s="21"/>
      <c r="L256" s="19">
        <v>45292</v>
      </c>
      <c r="M256" s="19">
        <v>47330</v>
      </c>
      <c r="N256" s="19"/>
      <c r="O256" s="14">
        <v>67</v>
      </c>
      <c r="P256" s="22">
        <v>15.5</v>
      </c>
      <c r="Q256" s="10">
        <v>10.85</v>
      </c>
      <c r="R256" s="10">
        <f t="shared" si="57"/>
        <v>26.35</v>
      </c>
      <c r="S256" s="11">
        <v>2.75E-2</v>
      </c>
      <c r="T256" s="12">
        <v>35</v>
      </c>
      <c r="U256" s="10">
        <f t="shared" si="44"/>
        <v>6.2686567164179108</v>
      </c>
      <c r="V256" s="26">
        <v>7</v>
      </c>
      <c r="W256" s="14" t="s">
        <v>40</v>
      </c>
      <c r="X256" s="15">
        <f t="shared" si="52"/>
        <v>15.370833333333335</v>
      </c>
      <c r="Y256" s="16">
        <f t="shared" si="45"/>
        <v>1.2537313432835822</v>
      </c>
      <c r="Z256" s="15">
        <f t="shared" si="54"/>
        <v>2.7529850746268663</v>
      </c>
      <c r="AA256" s="12">
        <f>X256+T256</f>
        <v>50.370833333333337</v>
      </c>
      <c r="AB256" s="15">
        <f t="shared" ref="AB256:AB287" si="58">AA256/(O256/12)</f>
        <v>9.021641791044777</v>
      </c>
      <c r="AC256" s="17">
        <f t="shared" si="56"/>
        <v>0.58204140587385655</v>
      </c>
      <c r="AD256" s="23" t="s">
        <v>157</v>
      </c>
      <c r="AE256" s="8" t="s">
        <v>91</v>
      </c>
      <c r="AF256" s="14" t="s">
        <v>353</v>
      </c>
      <c r="AG256" s="14" t="s">
        <v>354</v>
      </c>
      <c r="AH256" s="14" t="s">
        <v>58</v>
      </c>
    </row>
    <row r="257" spans="1:34" s="14" customFormat="1" ht="28.8" x14ac:dyDescent="0.3">
      <c r="A257" s="19">
        <v>43951</v>
      </c>
      <c r="B257" s="14" t="s">
        <v>1067</v>
      </c>
      <c r="C257" s="14" t="s">
        <v>1068</v>
      </c>
      <c r="D257" s="14" t="s">
        <v>973</v>
      </c>
      <c r="E257" s="14" t="s">
        <v>239</v>
      </c>
      <c r="F257" s="14" t="s">
        <v>37</v>
      </c>
      <c r="G257" s="14" t="s">
        <v>38</v>
      </c>
      <c r="H257" s="20">
        <v>5556</v>
      </c>
      <c r="I257" s="14" t="s">
        <v>39</v>
      </c>
      <c r="K257" s="21"/>
      <c r="L257" s="19">
        <v>43983</v>
      </c>
      <c r="M257" s="19">
        <v>47634</v>
      </c>
      <c r="N257" s="19">
        <v>46904</v>
      </c>
      <c r="O257" s="14">
        <v>120</v>
      </c>
      <c r="P257" s="22">
        <v>14.75</v>
      </c>
      <c r="Q257" s="10">
        <v>9.9</v>
      </c>
      <c r="R257" s="10">
        <f t="shared" si="57"/>
        <v>24.65</v>
      </c>
      <c r="S257" s="15">
        <v>0.5</v>
      </c>
      <c r="T257" s="12">
        <v>60</v>
      </c>
      <c r="U257" s="10">
        <f t="shared" si="44"/>
        <v>6</v>
      </c>
      <c r="V257" s="13">
        <v>0</v>
      </c>
      <c r="W257" s="14" t="s">
        <v>40</v>
      </c>
      <c r="X257" s="15">
        <f t="shared" si="52"/>
        <v>0</v>
      </c>
      <c r="Y257" s="16">
        <f t="shared" si="45"/>
        <v>0</v>
      </c>
      <c r="Z257" s="15">
        <f t="shared" si="54"/>
        <v>0</v>
      </c>
      <c r="AA257" s="12">
        <f>X257+T257</f>
        <v>60</v>
      </c>
      <c r="AB257" s="15">
        <f t="shared" si="58"/>
        <v>6</v>
      </c>
      <c r="AC257" s="17">
        <f t="shared" si="56"/>
        <v>0.40677966101694918</v>
      </c>
      <c r="AD257" s="23" t="s">
        <v>974</v>
      </c>
      <c r="AE257" s="8" t="s">
        <v>91</v>
      </c>
      <c r="AF257" s="14" t="s">
        <v>1069</v>
      </c>
      <c r="AG257" s="14" t="s">
        <v>897</v>
      </c>
      <c r="AH257" s="14" t="s">
        <v>1070</v>
      </c>
    </row>
    <row r="258" spans="1:34" s="14" customFormat="1" ht="28.8" x14ac:dyDescent="0.3">
      <c r="A258" s="19">
        <v>45813</v>
      </c>
      <c r="B258" s="14" t="s">
        <v>59</v>
      </c>
      <c r="C258" s="14" t="s">
        <v>60</v>
      </c>
      <c r="D258" s="14" t="s">
        <v>61</v>
      </c>
      <c r="E258" s="14" t="s">
        <v>62</v>
      </c>
      <c r="F258" s="14" t="s">
        <v>63</v>
      </c>
      <c r="G258" s="14" t="s">
        <v>64</v>
      </c>
      <c r="H258" s="20">
        <v>3768</v>
      </c>
      <c r="I258" s="14" t="s">
        <v>39</v>
      </c>
      <c r="K258" s="21"/>
      <c r="L258" s="19">
        <v>45444</v>
      </c>
      <c r="M258" s="19">
        <v>46660</v>
      </c>
      <c r="N258" s="19"/>
      <c r="O258" s="14">
        <v>40</v>
      </c>
      <c r="P258" s="22">
        <v>22</v>
      </c>
      <c r="Q258" s="10">
        <v>16.87</v>
      </c>
      <c r="R258" s="10">
        <f t="shared" si="57"/>
        <v>38.870000000000005</v>
      </c>
      <c r="S258" s="15">
        <v>0.5</v>
      </c>
      <c r="T258" s="12">
        <v>33</v>
      </c>
      <c r="U258" s="10">
        <f t="shared" ref="U258:U321" si="59">T258/(O258/12)</f>
        <v>9.9</v>
      </c>
      <c r="V258" s="26">
        <v>4</v>
      </c>
      <c r="W258" s="14" t="s">
        <v>40</v>
      </c>
      <c r="X258" s="15">
        <f t="shared" si="52"/>
        <v>12.956666666666667</v>
      </c>
      <c r="Y258" s="16">
        <f t="shared" ref="Y258:Y316" si="60">V258/(O258/12)</f>
        <v>1.2</v>
      </c>
      <c r="Z258" s="15">
        <f t="shared" si="54"/>
        <v>3.887</v>
      </c>
      <c r="AA258" s="12">
        <f>T258+X258</f>
        <v>45.956666666666663</v>
      </c>
      <c r="AB258" s="15">
        <f t="shared" si="58"/>
        <v>13.786999999999999</v>
      </c>
      <c r="AC258" s="17">
        <f t="shared" si="56"/>
        <v>0.62668181818181812</v>
      </c>
      <c r="AD258" s="23"/>
      <c r="AE258" s="8"/>
      <c r="AH258" s="14" t="s">
        <v>65</v>
      </c>
    </row>
    <row r="259" spans="1:34" s="14" customFormat="1" ht="28.8" x14ac:dyDescent="0.3">
      <c r="A259" s="19">
        <v>45548</v>
      </c>
      <c r="B259" s="14" t="s">
        <v>189</v>
      </c>
      <c r="C259" s="14" t="s">
        <v>182</v>
      </c>
      <c r="D259" s="14" t="s">
        <v>183</v>
      </c>
      <c r="E259" s="14" t="s">
        <v>184</v>
      </c>
      <c r="F259" s="14" t="s">
        <v>37</v>
      </c>
      <c r="G259" s="14" t="s">
        <v>64</v>
      </c>
      <c r="H259" s="20">
        <v>8069</v>
      </c>
      <c r="I259" s="14" t="s">
        <v>126</v>
      </c>
      <c r="K259" s="21">
        <v>45536</v>
      </c>
      <c r="L259" s="19">
        <v>45962</v>
      </c>
      <c r="M259" s="19">
        <v>47787</v>
      </c>
      <c r="N259" s="19"/>
      <c r="O259" s="14">
        <v>60</v>
      </c>
      <c r="P259" s="22">
        <v>15</v>
      </c>
      <c r="Q259" s="10">
        <v>11.66</v>
      </c>
      <c r="R259" s="10">
        <f t="shared" si="57"/>
        <v>26.66</v>
      </c>
      <c r="S259" s="15">
        <v>0.5</v>
      </c>
      <c r="T259" s="12">
        <v>35</v>
      </c>
      <c r="U259" s="10">
        <f t="shared" si="59"/>
        <v>7</v>
      </c>
      <c r="V259" s="13">
        <v>0</v>
      </c>
      <c r="W259" s="14" t="s">
        <v>40</v>
      </c>
      <c r="X259" s="15">
        <f t="shared" si="52"/>
        <v>0</v>
      </c>
      <c r="Y259" s="16">
        <f t="shared" si="60"/>
        <v>0</v>
      </c>
      <c r="Z259" s="15">
        <f t="shared" si="54"/>
        <v>0</v>
      </c>
      <c r="AA259" s="12">
        <f>X259+T259</f>
        <v>35</v>
      </c>
      <c r="AB259" s="15">
        <f t="shared" si="58"/>
        <v>7</v>
      </c>
      <c r="AC259" s="17">
        <f t="shared" si="56"/>
        <v>0.46666666666666667</v>
      </c>
      <c r="AD259" s="23" t="s">
        <v>185</v>
      </c>
      <c r="AE259" s="14" t="s">
        <v>186</v>
      </c>
      <c r="AG259" s="14" t="s">
        <v>190</v>
      </c>
      <c r="AH259" s="14" t="s">
        <v>188</v>
      </c>
    </row>
    <row r="260" spans="1:34" s="14" customFormat="1" x14ac:dyDescent="0.3">
      <c r="A260" s="19">
        <v>46097</v>
      </c>
      <c r="B260" s="14" t="s">
        <v>1340</v>
      </c>
      <c r="C260" s="14" t="s">
        <v>242</v>
      </c>
      <c r="D260" s="14" t="s">
        <v>242</v>
      </c>
      <c r="E260" s="14" t="s">
        <v>243</v>
      </c>
      <c r="F260" s="14" t="s">
        <v>37</v>
      </c>
      <c r="G260" s="14" t="s">
        <v>64</v>
      </c>
      <c r="H260" s="20">
        <v>3988</v>
      </c>
      <c r="I260" s="14" t="s">
        <v>74</v>
      </c>
      <c r="K260" s="21">
        <v>46082</v>
      </c>
      <c r="L260" s="19">
        <v>46388</v>
      </c>
      <c r="M260" s="19">
        <v>47907</v>
      </c>
      <c r="N260" s="19"/>
      <c r="O260" s="14">
        <v>38</v>
      </c>
      <c r="P260" s="22">
        <v>18</v>
      </c>
      <c r="Q260" s="10">
        <v>19.02</v>
      </c>
      <c r="R260" s="10">
        <f t="shared" si="57"/>
        <v>37.019999999999996</v>
      </c>
      <c r="S260" s="15">
        <v>0.5</v>
      </c>
      <c r="T260" s="12">
        <v>3.5</v>
      </c>
      <c r="U260" s="10">
        <f t="shared" si="59"/>
        <v>1.1052631578947369</v>
      </c>
      <c r="V260" s="26">
        <v>2</v>
      </c>
      <c r="W260" s="14" t="s">
        <v>40</v>
      </c>
      <c r="X260" s="15">
        <f t="shared" si="52"/>
        <v>6.169999999999999</v>
      </c>
      <c r="Y260" s="16">
        <f t="shared" si="60"/>
        <v>0.63157894736842113</v>
      </c>
      <c r="Z260" s="15">
        <f t="shared" si="54"/>
        <v>1.9484210526315788</v>
      </c>
      <c r="AA260" s="12">
        <f>X260+T260</f>
        <v>9.6699999999999982</v>
      </c>
      <c r="AB260" s="15">
        <f t="shared" si="58"/>
        <v>3.0536842105263156</v>
      </c>
      <c r="AC260" s="17">
        <f t="shared" si="56"/>
        <v>0.16964912280701752</v>
      </c>
      <c r="AD260" s="23" t="s">
        <v>240</v>
      </c>
      <c r="AE260" s="14" t="s">
        <v>42</v>
      </c>
      <c r="AF260" s="14" t="s">
        <v>56</v>
      </c>
      <c r="AG260" s="14" t="s">
        <v>1341</v>
      </c>
      <c r="AH260" s="14" t="s">
        <v>58</v>
      </c>
    </row>
    <row r="261" spans="1:34" s="14" customFormat="1" x14ac:dyDescent="0.3">
      <c r="A261" s="19">
        <v>45266</v>
      </c>
      <c r="B261" s="14" t="s">
        <v>306</v>
      </c>
      <c r="C261" s="14" t="s">
        <v>307</v>
      </c>
      <c r="D261" s="14" t="s">
        <v>308</v>
      </c>
      <c r="E261" s="14" t="s">
        <v>243</v>
      </c>
      <c r="F261" s="14" t="s">
        <v>37</v>
      </c>
      <c r="G261" s="14" t="s">
        <v>64</v>
      </c>
      <c r="H261" s="20">
        <v>3658</v>
      </c>
      <c r="I261" s="14" t="s">
        <v>74</v>
      </c>
      <c r="K261" s="21"/>
      <c r="L261" s="19">
        <v>45536</v>
      </c>
      <c r="M261" s="19">
        <v>47542</v>
      </c>
      <c r="N261" s="19"/>
      <c r="O261" s="14">
        <v>66</v>
      </c>
      <c r="P261" s="22">
        <v>16.5</v>
      </c>
      <c r="Q261" s="10">
        <v>16.690000000000001</v>
      </c>
      <c r="R261" s="10">
        <f t="shared" si="57"/>
        <v>33.19</v>
      </c>
      <c r="S261" s="15">
        <v>0.5</v>
      </c>
      <c r="T261" s="12">
        <v>0</v>
      </c>
      <c r="U261" s="10">
        <f t="shared" si="59"/>
        <v>0</v>
      </c>
      <c r="V261" s="26">
        <v>6</v>
      </c>
      <c r="W261" s="14" t="s">
        <v>40</v>
      </c>
      <c r="X261" s="15">
        <f t="shared" si="52"/>
        <v>16.594999999999999</v>
      </c>
      <c r="Y261" s="16">
        <f t="shared" si="60"/>
        <v>1.0909090909090908</v>
      </c>
      <c r="Z261" s="15">
        <f t="shared" ref="Z261:Z292" si="61">X261/(O261/12)</f>
        <v>3.0172727272727271</v>
      </c>
      <c r="AA261" s="12">
        <f>T261+X261</f>
        <v>16.594999999999999</v>
      </c>
      <c r="AB261" s="15">
        <f t="shared" si="58"/>
        <v>3.0172727272727271</v>
      </c>
      <c r="AC261" s="17">
        <f t="shared" ref="AC261:AC292" si="62">AB261/P261</f>
        <v>0.18286501377410466</v>
      </c>
      <c r="AD261" s="23" t="s">
        <v>309</v>
      </c>
      <c r="AE261" s="14" t="s">
        <v>42</v>
      </c>
      <c r="AF261" s="14" t="s">
        <v>56</v>
      </c>
      <c r="AH261" s="14" t="s">
        <v>58</v>
      </c>
    </row>
    <row r="262" spans="1:34" s="14" customFormat="1" ht="28.8" x14ac:dyDescent="0.3">
      <c r="A262" s="19">
        <v>44985</v>
      </c>
      <c r="B262" s="14" t="s">
        <v>377</v>
      </c>
      <c r="C262" s="14" t="s">
        <v>378</v>
      </c>
      <c r="D262" s="14" t="s">
        <v>378</v>
      </c>
      <c r="E262" s="14" t="s">
        <v>89</v>
      </c>
      <c r="F262" s="14" t="s">
        <v>90</v>
      </c>
      <c r="G262" s="14" t="s">
        <v>64</v>
      </c>
      <c r="H262" s="20">
        <v>12395</v>
      </c>
      <c r="I262" s="14" t="s">
        <v>39</v>
      </c>
      <c r="K262" s="21"/>
      <c r="L262" s="19">
        <v>45047</v>
      </c>
      <c r="M262" s="19">
        <v>49248</v>
      </c>
      <c r="N262" s="19"/>
      <c r="O262" s="14">
        <v>138</v>
      </c>
      <c r="P262" s="22">
        <v>12</v>
      </c>
      <c r="Q262" s="10"/>
      <c r="R262" s="10">
        <f t="shared" si="57"/>
        <v>12</v>
      </c>
      <c r="S262" s="15">
        <v>0.5</v>
      </c>
      <c r="T262" s="12">
        <v>90</v>
      </c>
      <c r="U262" s="10">
        <f t="shared" si="59"/>
        <v>7.8260869565217392</v>
      </c>
      <c r="V262" s="26">
        <v>18</v>
      </c>
      <c r="W262" s="14" t="s">
        <v>40</v>
      </c>
      <c r="X262" s="15">
        <f t="shared" si="52"/>
        <v>18</v>
      </c>
      <c r="Y262" s="16">
        <f t="shared" si="60"/>
        <v>1.5652173913043479</v>
      </c>
      <c r="Z262" s="15">
        <f t="shared" si="61"/>
        <v>1.5652173913043479</v>
      </c>
      <c r="AA262" s="12">
        <f t="shared" ref="AA262:AA269" si="63">X262+T262</f>
        <v>108</v>
      </c>
      <c r="AB262" s="15">
        <f t="shared" si="58"/>
        <v>9.3913043478260878</v>
      </c>
      <c r="AC262" s="17">
        <f t="shared" si="62"/>
        <v>0.78260869565217395</v>
      </c>
      <c r="AD262" s="23" t="s">
        <v>379</v>
      </c>
      <c r="AE262" s="14" t="s">
        <v>136</v>
      </c>
      <c r="AF262" s="14" t="s">
        <v>380</v>
      </c>
      <c r="AH262" s="14" t="s">
        <v>381</v>
      </c>
    </row>
    <row r="263" spans="1:34" s="14" customFormat="1" ht="28.8" x14ac:dyDescent="0.3">
      <c r="A263" s="19">
        <v>45636</v>
      </c>
      <c r="B263" s="14" t="s">
        <v>170</v>
      </c>
      <c r="C263" s="14" t="s">
        <v>171</v>
      </c>
      <c r="D263" s="14" t="s">
        <v>172</v>
      </c>
      <c r="E263" s="14" t="s">
        <v>168</v>
      </c>
      <c r="F263" s="14" t="s">
        <v>37</v>
      </c>
      <c r="G263" s="14" t="s">
        <v>38</v>
      </c>
      <c r="H263" s="20">
        <v>53481</v>
      </c>
      <c r="I263" s="14" t="s">
        <v>126</v>
      </c>
      <c r="K263" s="21"/>
      <c r="L263" s="19">
        <v>45992</v>
      </c>
      <c r="M263" s="19">
        <v>49948</v>
      </c>
      <c r="N263" s="19"/>
      <c r="O263" s="14">
        <v>130</v>
      </c>
      <c r="P263" s="22">
        <v>12.5</v>
      </c>
      <c r="Q263" s="10">
        <v>9.32</v>
      </c>
      <c r="R263" s="10">
        <f t="shared" si="57"/>
        <v>21.82</v>
      </c>
      <c r="S263" s="11">
        <v>2.5000000000000001E-2</v>
      </c>
      <c r="T263" s="12">
        <v>27.5</v>
      </c>
      <c r="U263" s="10">
        <f t="shared" si="59"/>
        <v>2.5384615384615383</v>
      </c>
      <c r="V263" s="26">
        <v>10</v>
      </c>
      <c r="W263" s="14" t="s">
        <v>169</v>
      </c>
      <c r="X263" s="15">
        <f>(V263/12)*P263</f>
        <v>10.416666666666668</v>
      </c>
      <c r="Y263" s="16">
        <f t="shared" si="60"/>
        <v>0.92307692307692302</v>
      </c>
      <c r="Z263" s="15">
        <f t="shared" si="61"/>
        <v>0.96153846153846156</v>
      </c>
      <c r="AA263" s="12">
        <f t="shared" si="63"/>
        <v>37.916666666666671</v>
      </c>
      <c r="AB263" s="15">
        <f t="shared" si="58"/>
        <v>3.5000000000000004</v>
      </c>
      <c r="AC263" s="17">
        <f t="shared" si="62"/>
        <v>0.28000000000000003</v>
      </c>
      <c r="AD263" s="23"/>
      <c r="AE263" s="14" t="s">
        <v>98</v>
      </c>
      <c r="AF263" s="14" t="s">
        <v>173</v>
      </c>
      <c r="AH263" s="14" t="s">
        <v>72</v>
      </c>
    </row>
    <row r="264" spans="1:34" s="14" customFormat="1" ht="129.6" x14ac:dyDescent="0.3">
      <c r="A264" s="19">
        <v>43951</v>
      </c>
      <c r="B264" s="14" t="s">
        <v>1122</v>
      </c>
      <c r="C264" s="14" t="s">
        <v>1123</v>
      </c>
      <c r="D264" s="14" t="s">
        <v>1124</v>
      </c>
      <c r="E264" s="14" t="s">
        <v>62</v>
      </c>
      <c r="F264" s="14" t="s">
        <v>63</v>
      </c>
      <c r="G264" s="14" t="s">
        <v>64</v>
      </c>
      <c r="H264" s="20">
        <v>12010</v>
      </c>
      <c r="I264" s="14" t="s">
        <v>39</v>
      </c>
      <c r="K264" s="21">
        <v>43313</v>
      </c>
      <c r="L264" s="19">
        <v>43525</v>
      </c>
      <c r="M264" s="19">
        <v>48091</v>
      </c>
      <c r="N264" s="19"/>
      <c r="O264" s="14">
        <v>126</v>
      </c>
      <c r="P264" s="22">
        <v>22.48</v>
      </c>
      <c r="Q264" s="10">
        <v>7.52</v>
      </c>
      <c r="R264" s="10">
        <f t="shared" si="57"/>
        <v>30</v>
      </c>
      <c r="S264" s="11">
        <v>3.7999999999999999E-2</v>
      </c>
      <c r="T264" s="12">
        <v>25</v>
      </c>
      <c r="U264" s="10">
        <f t="shared" si="59"/>
        <v>2.3809523809523809</v>
      </c>
      <c r="V264" s="26">
        <v>10</v>
      </c>
      <c r="W264" s="14" t="s">
        <v>40</v>
      </c>
      <c r="X264" s="15">
        <f t="shared" ref="X264:X273" si="64">(V264/12)*R264</f>
        <v>25</v>
      </c>
      <c r="Y264" s="16">
        <f t="shared" si="60"/>
        <v>0.95238095238095233</v>
      </c>
      <c r="Z264" s="15">
        <f t="shared" si="61"/>
        <v>2.3809523809523809</v>
      </c>
      <c r="AA264" s="12">
        <f t="shared" si="63"/>
        <v>50</v>
      </c>
      <c r="AB264" s="15">
        <f t="shared" si="58"/>
        <v>4.7619047619047619</v>
      </c>
      <c r="AC264" s="17">
        <f t="shared" si="62"/>
        <v>0.21182850364345027</v>
      </c>
      <c r="AD264" s="23" t="s">
        <v>1125</v>
      </c>
      <c r="AE264" s="14" t="s">
        <v>149</v>
      </c>
      <c r="AF264" s="14" t="s">
        <v>1126</v>
      </c>
      <c r="AG264" s="14" t="s">
        <v>1127</v>
      </c>
    </row>
    <row r="265" spans="1:34" s="14" customFormat="1" x14ac:dyDescent="0.3">
      <c r="A265" s="19">
        <v>45281</v>
      </c>
      <c r="B265" s="14" t="s">
        <v>285</v>
      </c>
      <c r="C265" s="14" t="s">
        <v>286</v>
      </c>
      <c r="D265" s="14" t="s">
        <v>287</v>
      </c>
      <c r="E265" s="14" t="s">
        <v>194</v>
      </c>
      <c r="F265" s="14" t="s">
        <v>63</v>
      </c>
      <c r="G265" s="14" t="s">
        <v>64</v>
      </c>
      <c r="H265" s="27">
        <v>16951</v>
      </c>
      <c r="I265" s="14" t="s">
        <v>39</v>
      </c>
      <c r="K265" s="21"/>
      <c r="L265" s="19">
        <v>45444</v>
      </c>
      <c r="M265" s="19">
        <v>49460</v>
      </c>
      <c r="N265" s="19"/>
      <c r="O265" s="14">
        <v>132</v>
      </c>
      <c r="P265" s="12">
        <v>21.5</v>
      </c>
      <c r="Q265" s="15">
        <v>17.53</v>
      </c>
      <c r="R265" s="10">
        <f t="shared" si="57"/>
        <v>39.03</v>
      </c>
      <c r="S265" s="28">
        <v>0.5</v>
      </c>
      <c r="T265" s="12">
        <v>85</v>
      </c>
      <c r="U265" s="10">
        <f t="shared" si="59"/>
        <v>7.7272727272727275</v>
      </c>
      <c r="V265" s="26">
        <v>12</v>
      </c>
      <c r="W265" s="52" t="s">
        <v>40</v>
      </c>
      <c r="X265" s="15">
        <f t="shared" si="64"/>
        <v>39.03</v>
      </c>
      <c r="Y265" s="16">
        <f t="shared" si="60"/>
        <v>1.0909090909090908</v>
      </c>
      <c r="Z265" s="15">
        <f t="shared" si="61"/>
        <v>3.5481818181818183</v>
      </c>
      <c r="AA265" s="12">
        <f t="shared" si="63"/>
        <v>124.03</v>
      </c>
      <c r="AB265" s="15">
        <f t="shared" si="58"/>
        <v>11.275454545454545</v>
      </c>
      <c r="AC265" s="17">
        <f t="shared" si="62"/>
        <v>0.5244397463002114</v>
      </c>
      <c r="AD265" s="23"/>
      <c r="AE265" s="14" t="s">
        <v>288</v>
      </c>
      <c r="AF265" s="14" t="s">
        <v>289</v>
      </c>
    </row>
    <row r="266" spans="1:34" s="14" customFormat="1" ht="28.8" x14ac:dyDescent="0.3">
      <c r="A266" s="19">
        <v>43951</v>
      </c>
      <c r="B266" s="14" t="s">
        <v>998</v>
      </c>
      <c r="C266" s="14" t="s">
        <v>422</v>
      </c>
      <c r="D266" s="14" t="s">
        <v>423</v>
      </c>
      <c r="E266" s="14" t="s">
        <v>89</v>
      </c>
      <c r="F266" s="14" t="s">
        <v>90</v>
      </c>
      <c r="G266" s="14" t="s">
        <v>64</v>
      </c>
      <c r="H266" s="20">
        <v>6536</v>
      </c>
      <c r="I266" s="14" t="s">
        <v>39</v>
      </c>
      <c r="K266" s="21">
        <v>43709</v>
      </c>
      <c r="L266" s="19">
        <v>43800</v>
      </c>
      <c r="M266" s="19">
        <v>46691</v>
      </c>
      <c r="N266" s="19"/>
      <c r="O266" s="14">
        <v>95</v>
      </c>
      <c r="P266" s="22">
        <v>16.2</v>
      </c>
      <c r="Q266" s="10">
        <v>12.99</v>
      </c>
      <c r="R266" s="10">
        <f t="shared" si="57"/>
        <v>29.189999999999998</v>
      </c>
      <c r="S266" s="15">
        <v>0.5</v>
      </c>
      <c r="T266" s="12">
        <v>65</v>
      </c>
      <c r="U266" s="10">
        <f t="shared" si="59"/>
        <v>8.2105263157894726</v>
      </c>
      <c r="V266" s="26">
        <v>2</v>
      </c>
      <c r="W266" s="14" t="s">
        <v>40</v>
      </c>
      <c r="X266" s="15">
        <f t="shared" si="64"/>
        <v>4.8649999999999993</v>
      </c>
      <c r="Y266" s="16">
        <f t="shared" si="60"/>
        <v>0.25263157894736843</v>
      </c>
      <c r="Z266" s="15">
        <f t="shared" si="61"/>
        <v>0.61452631578947359</v>
      </c>
      <c r="AA266" s="12">
        <f t="shared" si="63"/>
        <v>69.864999999999995</v>
      </c>
      <c r="AB266" s="15">
        <f t="shared" si="58"/>
        <v>8.8250526315789468</v>
      </c>
      <c r="AC266" s="17">
        <f t="shared" si="62"/>
        <v>0.54475633528265111</v>
      </c>
      <c r="AD266" s="23" t="s">
        <v>999</v>
      </c>
      <c r="AE266" s="14" t="s">
        <v>217</v>
      </c>
      <c r="AH266" s="14" t="s">
        <v>72</v>
      </c>
    </row>
    <row r="267" spans="1:34" s="14" customFormat="1" ht="28.8" x14ac:dyDescent="0.3">
      <c r="A267" s="19">
        <v>45364</v>
      </c>
      <c r="B267" s="14" t="s">
        <v>245</v>
      </c>
      <c r="C267" s="14" t="s">
        <v>246</v>
      </c>
      <c r="D267" s="14" t="s">
        <v>247</v>
      </c>
      <c r="E267" s="14" t="s">
        <v>194</v>
      </c>
      <c r="F267" s="14" t="s">
        <v>63</v>
      </c>
      <c r="G267" s="14" t="s">
        <v>64</v>
      </c>
      <c r="H267" s="20">
        <v>8785</v>
      </c>
      <c r="I267" s="14" t="s">
        <v>177</v>
      </c>
      <c r="K267" s="21">
        <v>45352</v>
      </c>
      <c r="L267" s="19">
        <v>45536</v>
      </c>
      <c r="M267" s="19">
        <v>47907</v>
      </c>
      <c r="N267" s="19"/>
      <c r="O267" s="14">
        <v>78</v>
      </c>
      <c r="P267" s="22">
        <v>11.72</v>
      </c>
      <c r="Q267" s="10">
        <v>17.78</v>
      </c>
      <c r="R267" s="10">
        <v>29.5</v>
      </c>
      <c r="S267" s="15">
        <v>0.5</v>
      </c>
      <c r="T267" s="12">
        <v>35</v>
      </c>
      <c r="U267" s="10">
        <f t="shared" si="59"/>
        <v>5.384615384615385</v>
      </c>
      <c r="V267" s="26">
        <v>6</v>
      </c>
      <c r="W267" s="14" t="s">
        <v>40</v>
      </c>
      <c r="X267" s="15">
        <f t="shared" si="64"/>
        <v>14.75</v>
      </c>
      <c r="Y267" s="16">
        <f t="shared" si="60"/>
        <v>0.92307692307692313</v>
      </c>
      <c r="Z267" s="15">
        <f t="shared" si="61"/>
        <v>2.2692307692307692</v>
      </c>
      <c r="AA267" s="12">
        <f t="shared" si="63"/>
        <v>49.75</v>
      </c>
      <c r="AB267" s="15">
        <f t="shared" si="58"/>
        <v>7.6538461538461542</v>
      </c>
      <c r="AC267" s="17">
        <f t="shared" si="62"/>
        <v>0.65305854555001308</v>
      </c>
      <c r="AD267" s="23" t="s">
        <v>248</v>
      </c>
      <c r="AE267" s="14" t="s">
        <v>42</v>
      </c>
      <c r="AF267" s="14" t="s">
        <v>56</v>
      </c>
      <c r="AH267" s="14" t="s">
        <v>58</v>
      </c>
    </row>
    <row r="268" spans="1:34" s="14" customFormat="1" ht="28.8" x14ac:dyDescent="0.3">
      <c r="A268" s="19">
        <v>43951</v>
      </c>
      <c r="B268" s="14" t="s">
        <v>1164</v>
      </c>
      <c r="C268" s="14" t="s">
        <v>1165</v>
      </c>
      <c r="D268" s="14" t="s">
        <v>1166</v>
      </c>
      <c r="E268" s="14" t="s">
        <v>79</v>
      </c>
      <c r="F268" s="14" t="s">
        <v>37</v>
      </c>
      <c r="G268" s="14" t="s">
        <v>38</v>
      </c>
      <c r="H268" s="20">
        <v>103115</v>
      </c>
      <c r="I268" s="14" t="s">
        <v>39</v>
      </c>
      <c r="K268" s="21"/>
      <c r="L268" s="19">
        <v>43647</v>
      </c>
      <c r="M268" s="19">
        <v>49125</v>
      </c>
      <c r="N268" s="19"/>
      <c r="O268" s="14">
        <v>180</v>
      </c>
      <c r="P268" s="22">
        <v>15</v>
      </c>
      <c r="Q268" s="10">
        <v>8.34</v>
      </c>
      <c r="R268" s="10">
        <f t="shared" ref="R268:R273" si="65">P268+Q268</f>
        <v>23.34</v>
      </c>
      <c r="S268" s="15">
        <v>0.5</v>
      </c>
      <c r="T268" s="12">
        <v>100</v>
      </c>
      <c r="U268" s="10">
        <f t="shared" si="59"/>
        <v>6.666666666666667</v>
      </c>
      <c r="V268" s="26">
        <v>24</v>
      </c>
      <c r="W268" s="14" t="s">
        <v>40</v>
      </c>
      <c r="X268" s="15">
        <f t="shared" si="64"/>
        <v>46.68</v>
      </c>
      <c r="Y268" s="16">
        <f t="shared" si="60"/>
        <v>1.6</v>
      </c>
      <c r="Z268" s="15">
        <f t="shared" si="61"/>
        <v>3.1120000000000001</v>
      </c>
      <c r="AA268" s="12">
        <f t="shared" si="63"/>
        <v>146.68</v>
      </c>
      <c r="AB268" s="15">
        <f t="shared" si="58"/>
        <v>9.778666666666668</v>
      </c>
      <c r="AC268" s="17">
        <f t="shared" si="62"/>
        <v>0.65191111111111122</v>
      </c>
      <c r="AD268" s="23" t="s">
        <v>1167</v>
      </c>
      <c r="AE268" s="14" t="s">
        <v>98</v>
      </c>
      <c r="AF268" s="14" t="s">
        <v>1168</v>
      </c>
      <c r="AH268" s="14" t="s">
        <v>92</v>
      </c>
    </row>
    <row r="269" spans="1:34" s="14" customFormat="1" x14ac:dyDescent="0.3">
      <c r="A269" s="7">
        <v>45429</v>
      </c>
      <c r="B269" s="8" t="s">
        <v>205</v>
      </c>
      <c r="C269" s="8" t="s">
        <v>199</v>
      </c>
      <c r="D269" s="14" t="s">
        <v>200</v>
      </c>
      <c r="E269" s="8" t="s">
        <v>97</v>
      </c>
      <c r="F269" s="14" t="s">
        <v>97</v>
      </c>
      <c r="G269" s="8" t="s">
        <v>64</v>
      </c>
      <c r="H269" s="9">
        <v>2835</v>
      </c>
      <c r="I269" s="8" t="s">
        <v>39</v>
      </c>
      <c r="J269" s="8"/>
      <c r="K269" s="53">
        <v>45292</v>
      </c>
      <c r="L269" s="7">
        <v>45352</v>
      </c>
      <c r="M269" s="7">
        <v>48121</v>
      </c>
      <c r="N269" s="7"/>
      <c r="O269" s="8">
        <v>91</v>
      </c>
      <c r="P269" s="54">
        <v>21.75</v>
      </c>
      <c r="Q269" s="55">
        <v>18</v>
      </c>
      <c r="R269" s="10">
        <f t="shared" si="65"/>
        <v>39.75</v>
      </c>
      <c r="S269" s="55">
        <v>0.5</v>
      </c>
      <c r="T269" s="12">
        <v>42.55</v>
      </c>
      <c r="U269" s="10">
        <f t="shared" si="59"/>
        <v>5.6109890109890106</v>
      </c>
      <c r="V269" s="26">
        <v>7</v>
      </c>
      <c r="W269" s="8" t="s">
        <v>40</v>
      </c>
      <c r="X269" s="15">
        <f t="shared" si="64"/>
        <v>23.1875</v>
      </c>
      <c r="Y269" s="16">
        <f t="shared" si="60"/>
        <v>0.92307692307692313</v>
      </c>
      <c r="Z269" s="15">
        <f t="shared" si="61"/>
        <v>3.0576923076923079</v>
      </c>
      <c r="AA269" s="12">
        <f t="shared" si="63"/>
        <v>65.737499999999997</v>
      </c>
      <c r="AB269" s="15">
        <f t="shared" si="58"/>
        <v>8.668681318681319</v>
      </c>
      <c r="AC269" s="17">
        <f t="shared" si="62"/>
        <v>0.39856006062902616</v>
      </c>
      <c r="AD269" s="18" t="s">
        <v>201</v>
      </c>
      <c r="AE269" s="8"/>
      <c r="AF269" s="8"/>
      <c r="AG269" s="8"/>
      <c r="AH269" s="8"/>
    </row>
    <row r="270" spans="1:34" s="14" customFormat="1" x14ac:dyDescent="0.3">
      <c r="A270" s="19">
        <v>44935</v>
      </c>
      <c r="B270" s="14" t="s">
        <v>469</v>
      </c>
      <c r="C270" s="14" t="s">
        <v>329</v>
      </c>
      <c r="D270" s="14" t="s">
        <v>330</v>
      </c>
      <c r="E270" s="14" t="s">
        <v>89</v>
      </c>
      <c r="F270" s="14" t="s">
        <v>90</v>
      </c>
      <c r="G270" s="14" t="s">
        <v>64</v>
      </c>
      <c r="H270" s="20">
        <v>8465</v>
      </c>
      <c r="I270" s="14" t="s">
        <v>39</v>
      </c>
      <c r="K270" s="21"/>
      <c r="L270" s="19">
        <v>45017</v>
      </c>
      <c r="M270" s="19">
        <v>47087</v>
      </c>
      <c r="N270" s="19"/>
      <c r="O270" s="14">
        <v>68</v>
      </c>
      <c r="P270" s="22">
        <v>10.5</v>
      </c>
      <c r="Q270" s="10">
        <v>11.09</v>
      </c>
      <c r="R270" s="10">
        <f t="shared" si="65"/>
        <v>21.59</v>
      </c>
      <c r="S270" s="15">
        <v>0.5</v>
      </c>
      <c r="T270" s="12"/>
      <c r="U270" s="10">
        <f t="shared" si="59"/>
        <v>0</v>
      </c>
      <c r="V270" s="26">
        <v>8</v>
      </c>
      <c r="W270" s="14" t="s">
        <v>40</v>
      </c>
      <c r="X270" s="15">
        <f t="shared" si="64"/>
        <v>14.393333333333333</v>
      </c>
      <c r="Y270" s="16">
        <f t="shared" si="60"/>
        <v>1.4117647058823528</v>
      </c>
      <c r="Z270" s="15">
        <f t="shared" si="61"/>
        <v>2.5399999999999996</v>
      </c>
      <c r="AA270" s="12">
        <f>T270+X270</f>
        <v>14.393333333333333</v>
      </c>
      <c r="AB270" s="15">
        <f t="shared" si="58"/>
        <v>2.5399999999999996</v>
      </c>
      <c r="AC270" s="17">
        <f t="shared" si="62"/>
        <v>0.24190476190476187</v>
      </c>
      <c r="AD270" s="23" t="s">
        <v>369</v>
      </c>
      <c r="AE270" s="8" t="s">
        <v>91</v>
      </c>
      <c r="AF270" s="14" t="s">
        <v>92</v>
      </c>
      <c r="AG270" s="14" t="s">
        <v>470</v>
      </c>
      <c r="AH270" s="14" t="s">
        <v>429</v>
      </c>
    </row>
    <row r="271" spans="1:34" s="14" customFormat="1" ht="57.6" x14ac:dyDescent="0.3">
      <c r="A271" s="19">
        <v>44600</v>
      </c>
      <c r="B271" s="14" t="s">
        <v>688</v>
      </c>
      <c r="C271" s="14" t="s">
        <v>572</v>
      </c>
      <c r="D271" s="14" t="s">
        <v>154</v>
      </c>
      <c r="E271" s="14" t="s">
        <v>36</v>
      </c>
      <c r="F271" s="14" t="s">
        <v>37</v>
      </c>
      <c r="G271" s="14" t="s">
        <v>38</v>
      </c>
      <c r="H271" s="20">
        <v>6370</v>
      </c>
      <c r="I271" s="14" t="s">
        <v>74</v>
      </c>
      <c r="K271" s="21"/>
      <c r="L271" s="19">
        <v>44682</v>
      </c>
      <c r="M271" s="19">
        <v>46873</v>
      </c>
      <c r="N271" s="19"/>
      <c r="O271" s="14">
        <v>72</v>
      </c>
      <c r="P271" s="22">
        <v>20.25</v>
      </c>
      <c r="Q271" s="10">
        <v>12.11</v>
      </c>
      <c r="R271" s="10">
        <f t="shared" si="65"/>
        <v>32.36</v>
      </c>
      <c r="S271" s="15">
        <v>0.5</v>
      </c>
      <c r="T271" s="12">
        <v>25</v>
      </c>
      <c r="U271" s="10">
        <f t="shared" si="59"/>
        <v>4.166666666666667</v>
      </c>
      <c r="V271" s="26">
        <v>6</v>
      </c>
      <c r="W271" s="14" t="s">
        <v>40</v>
      </c>
      <c r="X271" s="15">
        <f t="shared" si="64"/>
        <v>16.18</v>
      </c>
      <c r="Y271" s="16">
        <f t="shared" si="60"/>
        <v>1</v>
      </c>
      <c r="Z271" s="15">
        <f t="shared" si="61"/>
        <v>2.6966666666666668</v>
      </c>
      <c r="AA271" s="12">
        <f>X271+T271</f>
        <v>41.18</v>
      </c>
      <c r="AB271" s="15">
        <f t="shared" si="58"/>
        <v>6.8633333333333333</v>
      </c>
      <c r="AC271" s="17">
        <f t="shared" si="62"/>
        <v>0.33893004115226338</v>
      </c>
      <c r="AD271" s="23" t="s">
        <v>689</v>
      </c>
      <c r="AE271" s="14" t="s">
        <v>42</v>
      </c>
      <c r="AF271" s="14" t="s">
        <v>690</v>
      </c>
      <c r="AG271" s="14" t="s">
        <v>691</v>
      </c>
      <c r="AH271" s="14" t="s">
        <v>490</v>
      </c>
    </row>
    <row r="272" spans="1:34" s="14" customFormat="1" ht="57.6" x14ac:dyDescent="0.3">
      <c r="A272" s="19">
        <v>44807</v>
      </c>
      <c r="B272" s="14" t="s">
        <v>580</v>
      </c>
      <c r="D272" s="14" t="s">
        <v>581</v>
      </c>
      <c r="E272" s="14" t="s">
        <v>144</v>
      </c>
      <c r="F272" s="14" t="s">
        <v>37</v>
      </c>
      <c r="G272" s="14" t="s">
        <v>547</v>
      </c>
      <c r="H272" s="20">
        <v>3518</v>
      </c>
      <c r="I272" s="14" t="s">
        <v>39</v>
      </c>
      <c r="K272" s="21"/>
      <c r="L272" s="19">
        <v>44866</v>
      </c>
      <c r="M272" s="19">
        <v>46843</v>
      </c>
      <c r="N272" s="19"/>
      <c r="O272" s="14">
        <v>65</v>
      </c>
      <c r="P272" s="22">
        <v>14.9</v>
      </c>
      <c r="Q272" s="10">
        <v>5.85</v>
      </c>
      <c r="R272" s="10">
        <f t="shared" si="65"/>
        <v>20.75</v>
      </c>
      <c r="S272" s="15">
        <v>0.5</v>
      </c>
      <c r="T272" s="12">
        <v>15</v>
      </c>
      <c r="U272" s="10">
        <f t="shared" si="59"/>
        <v>2.7692307692307692</v>
      </c>
      <c r="V272" s="26">
        <v>5</v>
      </c>
      <c r="W272" s="14" t="s">
        <v>40</v>
      </c>
      <c r="X272" s="15">
        <f t="shared" si="64"/>
        <v>8.6458333333333339</v>
      </c>
      <c r="Y272" s="16">
        <f t="shared" si="60"/>
        <v>0.92307692307692302</v>
      </c>
      <c r="Z272" s="15">
        <f t="shared" si="61"/>
        <v>1.5961538461538463</v>
      </c>
      <c r="AA272" s="12">
        <f>T272+X272</f>
        <v>23.645833333333336</v>
      </c>
      <c r="AB272" s="15">
        <f t="shared" si="58"/>
        <v>4.3653846153846159</v>
      </c>
      <c r="AC272" s="17">
        <f t="shared" si="62"/>
        <v>0.29297883324728963</v>
      </c>
      <c r="AD272" s="23" t="s">
        <v>582</v>
      </c>
      <c r="AE272" s="8" t="s">
        <v>91</v>
      </c>
      <c r="AF272" s="14" t="s">
        <v>56</v>
      </c>
      <c r="AG272" s="14" t="s">
        <v>583</v>
      </c>
      <c r="AH272" s="14" t="s">
        <v>58</v>
      </c>
    </row>
    <row r="273" spans="1:34" s="14" customFormat="1" ht="28.8" x14ac:dyDescent="0.3">
      <c r="A273" s="19">
        <v>43951</v>
      </c>
      <c r="B273" s="14" t="s">
        <v>1060</v>
      </c>
      <c r="C273" s="14" t="s">
        <v>422</v>
      </c>
      <c r="D273" s="14" t="s">
        <v>423</v>
      </c>
      <c r="E273" s="14" t="s">
        <v>89</v>
      </c>
      <c r="F273" s="14" t="s">
        <v>90</v>
      </c>
      <c r="G273" s="14" t="s">
        <v>64</v>
      </c>
      <c r="H273" s="20">
        <v>5904</v>
      </c>
      <c r="I273" s="14" t="s">
        <v>74</v>
      </c>
      <c r="K273" s="21">
        <v>43770</v>
      </c>
      <c r="L273" s="19">
        <v>43922</v>
      </c>
      <c r="M273" s="19">
        <v>47573</v>
      </c>
      <c r="N273" s="19"/>
      <c r="O273" s="14">
        <v>120</v>
      </c>
      <c r="P273" s="22">
        <v>16.25</v>
      </c>
      <c r="Q273" s="10">
        <v>12.99</v>
      </c>
      <c r="R273" s="10">
        <f t="shared" si="65"/>
        <v>29.240000000000002</v>
      </c>
      <c r="S273" s="15">
        <v>0.5</v>
      </c>
      <c r="T273" s="12">
        <v>52</v>
      </c>
      <c r="U273" s="10">
        <f t="shared" si="59"/>
        <v>5.2</v>
      </c>
      <c r="V273" s="13">
        <v>0</v>
      </c>
      <c r="X273" s="15">
        <f t="shared" si="64"/>
        <v>0</v>
      </c>
      <c r="Y273" s="16">
        <f t="shared" si="60"/>
        <v>0</v>
      </c>
      <c r="Z273" s="15">
        <f t="shared" si="61"/>
        <v>0</v>
      </c>
      <c r="AA273" s="12">
        <f>T273+X273</f>
        <v>52</v>
      </c>
      <c r="AB273" s="15">
        <f t="shared" si="58"/>
        <v>5.2</v>
      </c>
      <c r="AC273" s="17">
        <f t="shared" si="62"/>
        <v>0.32</v>
      </c>
      <c r="AD273" s="23" t="s">
        <v>999</v>
      </c>
      <c r="AE273" s="14" t="s">
        <v>288</v>
      </c>
      <c r="AF273" s="14" t="s">
        <v>364</v>
      </c>
      <c r="AH273" s="14" t="s">
        <v>936</v>
      </c>
    </row>
    <row r="274" spans="1:34" s="14" customFormat="1" x14ac:dyDescent="0.3">
      <c r="A274" s="19">
        <v>45637</v>
      </c>
      <c r="B274" s="14" t="s">
        <v>166</v>
      </c>
      <c r="C274" s="14" t="s">
        <v>167</v>
      </c>
      <c r="E274" s="14" t="s">
        <v>168</v>
      </c>
      <c r="F274" s="14" t="s">
        <v>37</v>
      </c>
      <c r="G274" s="14" t="s">
        <v>38</v>
      </c>
      <c r="H274" s="25">
        <v>20951</v>
      </c>
      <c r="I274" s="14" t="s">
        <v>39</v>
      </c>
      <c r="K274" s="57">
        <v>45597</v>
      </c>
      <c r="L274" s="19"/>
      <c r="M274" s="19"/>
      <c r="N274" s="19"/>
      <c r="O274" s="14">
        <v>132</v>
      </c>
      <c r="P274" s="12">
        <v>13.5</v>
      </c>
      <c r="Q274" s="15"/>
      <c r="R274" s="15"/>
      <c r="S274" s="15">
        <v>0.5</v>
      </c>
      <c r="T274" s="12">
        <v>50</v>
      </c>
      <c r="U274" s="10">
        <f t="shared" si="59"/>
        <v>4.5454545454545459</v>
      </c>
      <c r="V274" s="13">
        <v>12</v>
      </c>
      <c r="W274" s="52" t="s">
        <v>169</v>
      </c>
      <c r="X274" s="15">
        <f>(V274/12)*P274</f>
        <v>13.5</v>
      </c>
      <c r="Y274" s="16">
        <f t="shared" si="60"/>
        <v>1.0909090909090908</v>
      </c>
      <c r="Z274" s="15">
        <f t="shared" si="61"/>
        <v>1.2272727272727273</v>
      </c>
      <c r="AA274" s="12">
        <f>X274+T274</f>
        <v>63.5</v>
      </c>
      <c r="AB274" s="15">
        <f t="shared" si="58"/>
        <v>5.7727272727272725</v>
      </c>
      <c r="AC274" s="17">
        <f t="shared" si="62"/>
        <v>0.42760942760942761</v>
      </c>
      <c r="AD274" s="23"/>
    </row>
    <row r="275" spans="1:34" s="14" customFormat="1" ht="28.8" x14ac:dyDescent="0.3">
      <c r="A275" s="19">
        <v>44860</v>
      </c>
      <c r="B275" s="14" t="s">
        <v>534</v>
      </c>
      <c r="C275" s="14" t="s">
        <v>443</v>
      </c>
      <c r="D275" s="14" t="s">
        <v>444</v>
      </c>
      <c r="E275" s="14" t="s">
        <v>62</v>
      </c>
      <c r="F275" s="14" t="s">
        <v>63</v>
      </c>
      <c r="G275" s="14" t="s">
        <v>64</v>
      </c>
      <c r="H275" s="20">
        <v>17337</v>
      </c>
      <c r="I275" s="14" t="s">
        <v>39</v>
      </c>
      <c r="K275" s="21"/>
      <c r="L275" s="19">
        <v>45200</v>
      </c>
      <c r="M275" s="19">
        <v>49217</v>
      </c>
      <c r="N275" s="19"/>
      <c r="O275" s="14">
        <v>132</v>
      </c>
      <c r="P275" s="22">
        <v>17.5</v>
      </c>
      <c r="Q275" s="10"/>
      <c r="R275" s="10">
        <f t="shared" ref="R275:R297" si="66">P275+Q275</f>
        <v>17.5</v>
      </c>
      <c r="S275" s="15">
        <v>0.5</v>
      </c>
      <c r="T275" s="12">
        <v>62</v>
      </c>
      <c r="U275" s="10">
        <f t="shared" si="59"/>
        <v>5.6363636363636367</v>
      </c>
      <c r="V275" s="26">
        <v>10</v>
      </c>
      <c r="W275" s="14" t="s">
        <v>40</v>
      </c>
      <c r="X275" s="15">
        <f t="shared" ref="X275:X316" si="67">(V275/12)*R275</f>
        <v>14.583333333333334</v>
      </c>
      <c r="Y275" s="16">
        <f t="shared" si="60"/>
        <v>0.90909090909090906</v>
      </c>
      <c r="Z275" s="15">
        <f t="shared" si="61"/>
        <v>1.3257575757575759</v>
      </c>
      <c r="AA275" s="12">
        <f>X275+T275</f>
        <v>76.583333333333329</v>
      </c>
      <c r="AB275" s="15">
        <f t="shared" si="58"/>
        <v>6.9621212121212119</v>
      </c>
      <c r="AC275" s="17">
        <f t="shared" si="62"/>
        <v>0.39783549783549782</v>
      </c>
      <c r="AD275" s="23" t="s">
        <v>402</v>
      </c>
      <c r="AE275" s="14" t="s">
        <v>98</v>
      </c>
      <c r="AF275" s="14" t="s">
        <v>535</v>
      </c>
      <c r="AH275" s="14" t="s">
        <v>445</v>
      </c>
    </row>
    <row r="276" spans="1:34" s="14" customFormat="1" x14ac:dyDescent="0.3">
      <c r="A276" s="19">
        <v>43951</v>
      </c>
      <c r="B276" s="14" t="s">
        <v>1085</v>
      </c>
      <c r="C276" s="14" t="s">
        <v>361</v>
      </c>
      <c r="D276" s="14" t="s">
        <v>459</v>
      </c>
      <c r="E276" s="14" t="s">
        <v>194</v>
      </c>
      <c r="F276" s="14" t="s">
        <v>63</v>
      </c>
      <c r="G276" s="14" t="s">
        <v>64</v>
      </c>
      <c r="H276" s="20">
        <v>27484</v>
      </c>
      <c r="I276" s="14" t="s">
        <v>39</v>
      </c>
      <c r="K276" s="21"/>
      <c r="L276" s="19">
        <v>43739</v>
      </c>
      <c r="M276" s="19">
        <v>47756</v>
      </c>
      <c r="N276" s="19"/>
      <c r="O276" s="14">
        <v>132</v>
      </c>
      <c r="P276" s="22">
        <v>17.5</v>
      </c>
      <c r="Q276" s="10">
        <v>13.33</v>
      </c>
      <c r="R276" s="10">
        <f t="shared" si="66"/>
        <v>30.83</v>
      </c>
      <c r="S276" s="15">
        <v>0.5</v>
      </c>
      <c r="T276" s="12">
        <v>0</v>
      </c>
      <c r="U276" s="10">
        <f t="shared" si="59"/>
        <v>0</v>
      </c>
      <c r="V276" s="26">
        <v>12</v>
      </c>
      <c r="W276" s="14" t="s">
        <v>40</v>
      </c>
      <c r="X276" s="15">
        <f t="shared" si="67"/>
        <v>30.83</v>
      </c>
      <c r="Y276" s="16">
        <f t="shared" si="60"/>
        <v>1.0909090909090908</v>
      </c>
      <c r="Z276" s="15">
        <f t="shared" si="61"/>
        <v>2.8027272727272727</v>
      </c>
      <c r="AA276" s="12">
        <f>T276+X276</f>
        <v>30.83</v>
      </c>
      <c r="AB276" s="15">
        <f t="shared" si="58"/>
        <v>2.8027272727272727</v>
      </c>
      <c r="AC276" s="17">
        <f t="shared" si="62"/>
        <v>0.16015584415584416</v>
      </c>
      <c r="AD276" s="23" t="s">
        <v>1086</v>
      </c>
      <c r="AG276" s="14" t="s">
        <v>1087</v>
      </c>
    </row>
    <row r="277" spans="1:34" s="14" customFormat="1" ht="28.8" x14ac:dyDescent="0.3">
      <c r="A277" s="19">
        <v>44651</v>
      </c>
      <c r="B277" s="14" t="s">
        <v>664</v>
      </c>
      <c r="C277" s="14" t="s">
        <v>659</v>
      </c>
      <c r="D277" s="14" t="s">
        <v>660</v>
      </c>
      <c r="E277" s="14" t="s">
        <v>661</v>
      </c>
      <c r="F277" s="14" t="s">
        <v>90</v>
      </c>
      <c r="G277" s="14" t="s">
        <v>552</v>
      </c>
      <c r="H277" s="20">
        <v>42696</v>
      </c>
      <c r="I277" s="14" t="s">
        <v>39</v>
      </c>
      <c r="K277" s="21"/>
      <c r="L277" s="19">
        <v>44713</v>
      </c>
      <c r="M277" s="19">
        <v>48669</v>
      </c>
      <c r="N277" s="19"/>
      <c r="O277" s="14">
        <v>130</v>
      </c>
      <c r="P277" s="22">
        <v>13.25</v>
      </c>
      <c r="Q277" s="10">
        <v>9.42</v>
      </c>
      <c r="R277" s="10">
        <f t="shared" si="66"/>
        <v>22.67</v>
      </c>
      <c r="S277" s="15">
        <v>0.5</v>
      </c>
      <c r="T277" s="12">
        <v>75</v>
      </c>
      <c r="U277" s="10">
        <f t="shared" si="59"/>
        <v>6.9230769230769225</v>
      </c>
      <c r="V277" s="26">
        <v>10</v>
      </c>
      <c r="W277" s="14" t="s">
        <v>40</v>
      </c>
      <c r="X277" s="15">
        <f t="shared" si="67"/>
        <v>18.891666666666669</v>
      </c>
      <c r="Y277" s="16">
        <f t="shared" si="60"/>
        <v>0.92307692307692302</v>
      </c>
      <c r="Z277" s="15">
        <f t="shared" si="61"/>
        <v>1.743846153846154</v>
      </c>
      <c r="AA277" s="12">
        <f>X277+T277</f>
        <v>93.891666666666666</v>
      </c>
      <c r="AB277" s="15">
        <f t="shared" si="58"/>
        <v>8.6669230769230765</v>
      </c>
      <c r="AC277" s="17">
        <f t="shared" si="62"/>
        <v>0.6541074020319303</v>
      </c>
      <c r="AD277" s="23" t="s">
        <v>662</v>
      </c>
      <c r="AE277" s="8" t="s">
        <v>91</v>
      </c>
      <c r="AF277" s="14" t="s">
        <v>116</v>
      </c>
      <c r="AH277" s="14" t="s">
        <v>441</v>
      </c>
    </row>
    <row r="278" spans="1:34" s="14" customFormat="1" ht="28.8" x14ac:dyDescent="0.3">
      <c r="A278" s="19">
        <v>43951</v>
      </c>
      <c r="B278" s="14" t="s">
        <v>941</v>
      </c>
      <c r="C278" s="14" t="s">
        <v>128</v>
      </c>
      <c r="D278" s="14" t="s">
        <v>701</v>
      </c>
      <c r="E278" s="14" t="s">
        <v>103</v>
      </c>
      <c r="F278" s="14" t="s">
        <v>37</v>
      </c>
      <c r="G278" s="14" t="s">
        <v>38</v>
      </c>
      <c r="H278" s="20">
        <v>22808</v>
      </c>
      <c r="I278" s="14" t="s">
        <v>39</v>
      </c>
      <c r="K278" s="21"/>
      <c r="L278" s="19">
        <v>43862</v>
      </c>
      <c r="M278" s="19">
        <v>46053</v>
      </c>
      <c r="N278" s="19"/>
      <c r="O278" s="14">
        <v>72</v>
      </c>
      <c r="P278" s="22">
        <v>22.25</v>
      </c>
      <c r="Q278" s="10">
        <v>12.32</v>
      </c>
      <c r="R278" s="10">
        <f t="shared" si="66"/>
        <v>34.57</v>
      </c>
      <c r="S278" s="11">
        <v>2.5000000000000001E-2</v>
      </c>
      <c r="T278" s="12">
        <v>40</v>
      </c>
      <c r="U278" s="10">
        <f t="shared" si="59"/>
        <v>6.666666666666667</v>
      </c>
      <c r="V278" s="26">
        <v>2</v>
      </c>
      <c r="W278" s="14" t="s">
        <v>169</v>
      </c>
      <c r="X278" s="15">
        <f t="shared" si="67"/>
        <v>5.7616666666666667</v>
      </c>
      <c r="Y278" s="16">
        <f t="shared" si="60"/>
        <v>0.33333333333333331</v>
      </c>
      <c r="Z278" s="15">
        <f t="shared" si="61"/>
        <v>0.96027777777777779</v>
      </c>
      <c r="AA278" s="12">
        <f>T278+X278</f>
        <v>45.76166666666667</v>
      </c>
      <c r="AB278" s="15">
        <f t="shared" si="58"/>
        <v>7.6269444444444447</v>
      </c>
      <c r="AC278" s="17">
        <f t="shared" si="62"/>
        <v>0.34278401997503122</v>
      </c>
      <c r="AD278" s="23" t="s">
        <v>912</v>
      </c>
      <c r="AE278" s="14" t="s">
        <v>590</v>
      </c>
      <c r="AF278" s="14" t="s">
        <v>864</v>
      </c>
      <c r="AH278" s="14" t="s">
        <v>230</v>
      </c>
    </row>
    <row r="279" spans="1:34" s="14" customFormat="1" ht="28.8" x14ac:dyDescent="0.3">
      <c r="A279" s="19">
        <v>46027</v>
      </c>
      <c r="B279" s="14" t="s">
        <v>1319</v>
      </c>
      <c r="C279" s="14" t="s">
        <v>527</v>
      </c>
      <c r="D279" s="14" t="s">
        <v>356</v>
      </c>
      <c r="E279" s="14" t="s">
        <v>357</v>
      </c>
      <c r="F279" s="14" t="s">
        <v>37</v>
      </c>
      <c r="G279" s="14" t="s">
        <v>38</v>
      </c>
      <c r="H279" s="20">
        <v>9874</v>
      </c>
      <c r="I279" s="14" t="s">
        <v>39</v>
      </c>
      <c r="K279" s="21">
        <v>45992</v>
      </c>
      <c r="L279" s="19">
        <v>46266</v>
      </c>
      <c r="M279" s="19">
        <v>48244</v>
      </c>
      <c r="N279" s="19"/>
      <c r="O279" s="14">
        <v>65</v>
      </c>
      <c r="P279" s="22">
        <v>14.75</v>
      </c>
      <c r="Q279" s="10">
        <v>9.9</v>
      </c>
      <c r="R279" s="10">
        <f t="shared" si="66"/>
        <v>24.65</v>
      </c>
      <c r="S279" s="15">
        <v>0.5</v>
      </c>
      <c r="T279" s="12">
        <v>40</v>
      </c>
      <c r="U279" s="10">
        <f t="shared" si="59"/>
        <v>7.3846153846153841</v>
      </c>
      <c r="V279" s="26">
        <v>5</v>
      </c>
      <c r="W279" s="14" t="s">
        <v>40</v>
      </c>
      <c r="X279" s="15">
        <f t="shared" si="67"/>
        <v>10.270833333333334</v>
      </c>
      <c r="Y279" s="16">
        <f t="shared" si="60"/>
        <v>0.92307692307692302</v>
      </c>
      <c r="Z279" s="15">
        <f t="shared" si="61"/>
        <v>1.8961538461538461</v>
      </c>
      <c r="AA279" s="12">
        <f>T279+X279</f>
        <v>50.270833333333336</v>
      </c>
      <c r="AB279" s="15">
        <f t="shared" si="58"/>
        <v>9.2807692307692307</v>
      </c>
      <c r="AC279" s="17">
        <f t="shared" si="62"/>
        <v>0.62920469361147324</v>
      </c>
      <c r="AD279" s="23" t="s">
        <v>1324</v>
      </c>
      <c r="AE279" s="14" t="s">
        <v>650</v>
      </c>
      <c r="AF279" s="14" t="s">
        <v>158</v>
      </c>
      <c r="AH279" s="14" t="s">
        <v>159</v>
      </c>
    </row>
    <row r="280" spans="1:34" s="14" customFormat="1" ht="28.8" x14ac:dyDescent="0.3">
      <c r="A280" s="19">
        <v>44980</v>
      </c>
      <c r="B280" s="14" t="s">
        <v>392</v>
      </c>
      <c r="C280" s="14" t="s">
        <v>147</v>
      </c>
      <c r="D280" s="14" t="s">
        <v>393</v>
      </c>
      <c r="E280" s="14" t="s">
        <v>89</v>
      </c>
      <c r="F280" s="14" t="s">
        <v>90</v>
      </c>
      <c r="G280" s="14" t="s">
        <v>64</v>
      </c>
      <c r="H280" s="20">
        <v>6572</v>
      </c>
      <c r="I280" s="14" t="s">
        <v>74</v>
      </c>
      <c r="K280" s="21"/>
      <c r="L280" s="19">
        <v>44986</v>
      </c>
      <c r="M280" s="19">
        <v>46203</v>
      </c>
      <c r="N280" s="19"/>
      <c r="O280" s="14">
        <v>40</v>
      </c>
      <c r="P280" s="22">
        <v>15.5</v>
      </c>
      <c r="Q280" s="10">
        <v>14.120000000000001</v>
      </c>
      <c r="R280" s="10">
        <f t="shared" si="66"/>
        <v>29.62</v>
      </c>
      <c r="S280" s="15">
        <v>0.5</v>
      </c>
      <c r="T280" s="12">
        <v>10</v>
      </c>
      <c r="U280" s="10">
        <f t="shared" si="59"/>
        <v>3</v>
      </c>
      <c r="V280" s="26">
        <v>4</v>
      </c>
      <c r="W280" s="14" t="s">
        <v>40</v>
      </c>
      <c r="X280" s="15">
        <f t="shared" si="67"/>
        <v>9.8733333333333331</v>
      </c>
      <c r="Y280" s="16">
        <f t="shared" si="60"/>
        <v>1.2</v>
      </c>
      <c r="Z280" s="15">
        <f t="shared" si="61"/>
        <v>2.9619999999999997</v>
      </c>
      <c r="AA280" s="12">
        <f>X280+T280</f>
        <v>19.873333333333335</v>
      </c>
      <c r="AB280" s="15">
        <f t="shared" si="58"/>
        <v>5.9620000000000006</v>
      </c>
      <c r="AC280" s="17">
        <f t="shared" si="62"/>
        <v>0.38464516129032261</v>
      </c>
      <c r="AD280" s="23" t="s">
        <v>367</v>
      </c>
      <c r="AE280" s="14" t="s">
        <v>186</v>
      </c>
      <c r="AH280" s="14" t="s">
        <v>394</v>
      </c>
    </row>
    <row r="281" spans="1:34" s="14" customFormat="1" ht="43.2" x14ac:dyDescent="0.3">
      <c r="A281" s="19">
        <v>44700</v>
      </c>
      <c r="B281" s="14" t="s">
        <v>617</v>
      </c>
      <c r="C281" s="14" t="s">
        <v>618</v>
      </c>
      <c r="D281" s="14" t="s">
        <v>619</v>
      </c>
      <c r="E281" s="14" t="s">
        <v>103</v>
      </c>
      <c r="F281" s="14" t="s">
        <v>37</v>
      </c>
      <c r="G281" s="14" t="s">
        <v>38</v>
      </c>
      <c r="H281" s="20">
        <v>12753</v>
      </c>
      <c r="I281" s="14" t="s">
        <v>291</v>
      </c>
      <c r="K281" s="21"/>
      <c r="L281" s="19">
        <v>44593</v>
      </c>
      <c r="M281" s="19">
        <v>47514</v>
      </c>
      <c r="N281" s="19"/>
      <c r="O281" s="14">
        <v>104</v>
      </c>
      <c r="P281" s="22">
        <v>18.8</v>
      </c>
      <c r="Q281" s="10">
        <v>13.43</v>
      </c>
      <c r="R281" s="10">
        <f t="shared" si="66"/>
        <v>32.230000000000004</v>
      </c>
      <c r="S281" s="11">
        <v>2.2499999999999999E-2</v>
      </c>
      <c r="T281" s="12">
        <v>30</v>
      </c>
      <c r="U281" s="10">
        <f t="shared" si="59"/>
        <v>3.4615384615384617</v>
      </c>
      <c r="V281" s="26">
        <v>7</v>
      </c>
      <c r="W281" s="14" t="s">
        <v>40</v>
      </c>
      <c r="X281" s="15">
        <f t="shared" si="67"/>
        <v>18.800833333333337</v>
      </c>
      <c r="Y281" s="16">
        <f t="shared" si="60"/>
        <v>0.80769230769230771</v>
      </c>
      <c r="Z281" s="15">
        <f t="shared" si="61"/>
        <v>2.1693269230769237</v>
      </c>
      <c r="AA281" s="12">
        <f>X281+T281</f>
        <v>48.800833333333337</v>
      </c>
      <c r="AB281" s="15">
        <f t="shared" si="58"/>
        <v>5.6308653846153858</v>
      </c>
      <c r="AC281" s="17">
        <f t="shared" si="62"/>
        <v>0.29951411620294605</v>
      </c>
      <c r="AD281" s="23" t="s">
        <v>620</v>
      </c>
    </row>
    <row r="282" spans="1:34" s="14" customFormat="1" ht="43.2" x14ac:dyDescent="0.3">
      <c r="A282" s="19">
        <v>43951</v>
      </c>
      <c r="B282" s="14" t="s">
        <v>949</v>
      </c>
      <c r="C282" s="14" t="s">
        <v>950</v>
      </c>
      <c r="D282" s="14" t="s">
        <v>951</v>
      </c>
      <c r="E282" s="14" t="s">
        <v>135</v>
      </c>
      <c r="F282" s="14" t="s">
        <v>90</v>
      </c>
      <c r="G282" s="14" t="s">
        <v>64</v>
      </c>
      <c r="H282" s="20">
        <v>7420</v>
      </c>
      <c r="I282" s="14" t="s">
        <v>74</v>
      </c>
      <c r="K282" s="21"/>
      <c r="L282" s="19">
        <v>44166</v>
      </c>
      <c r="M282" s="19">
        <v>46173</v>
      </c>
      <c r="N282" s="19"/>
      <c r="O282" s="14">
        <v>66</v>
      </c>
      <c r="P282" s="22">
        <v>14.5</v>
      </c>
      <c r="Q282" s="10">
        <v>12.49</v>
      </c>
      <c r="R282" s="10">
        <f t="shared" si="66"/>
        <v>26.990000000000002</v>
      </c>
      <c r="S282" s="15">
        <v>0.5</v>
      </c>
      <c r="T282" s="12">
        <v>3.5</v>
      </c>
      <c r="U282" s="10">
        <f t="shared" si="59"/>
        <v>0.63636363636363635</v>
      </c>
      <c r="V282" s="26">
        <v>6</v>
      </c>
      <c r="W282" s="14" t="s">
        <v>169</v>
      </c>
      <c r="X282" s="15">
        <f t="shared" si="67"/>
        <v>13.495000000000001</v>
      </c>
      <c r="Y282" s="16">
        <f t="shared" si="60"/>
        <v>1.0909090909090908</v>
      </c>
      <c r="Z282" s="15">
        <f t="shared" si="61"/>
        <v>2.4536363636363636</v>
      </c>
      <c r="AA282" s="12">
        <f>T282+X282</f>
        <v>16.995000000000001</v>
      </c>
      <c r="AB282" s="15">
        <f t="shared" si="58"/>
        <v>3.0900000000000003</v>
      </c>
      <c r="AC282" s="17">
        <f t="shared" si="62"/>
        <v>0.21310344827586208</v>
      </c>
      <c r="AD282" s="23" t="s">
        <v>952</v>
      </c>
      <c r="AE282" s="14" t="s">
        <v>136</v>
      </c>
      <c r="AG282" s="14" t="s">
        <v>953</v>
      </c>
      <c r="AH282" s="14" t="s">
        <v>230</v>
      </c>
    </row>
    <row r="283" spans="1:34" s="14" customFormat="1" ht="28.8" x14ac:dyDescent="0.3">
      <c r="A283" s="19">
        <v>45805</v>
      </c>
      <c r="B283" s="14" t="s">
        <v>117</v>
      </c>
      <c r="C283" s="14" t="s">
        <v>118</v>
      </c>
      <c r="D283" s="14" t="s">
        <v>119</v>
      </c>
      <c r="E283" s="14" t="s">
        <v>120</v>
      </c>
      <c r="F283" s="14" t="s">
        <v>90</v>
      </c>
      <c r="G283" s="14" t="s">
        <v>55</v>
      </c>
      <c r="H283" s="25">
        <v>72883</v>
      </c>
      <c r="I283" s="14" t="s">
        <v>39</v>
      </c>
      <c r="K283" s="57"/>
      <c r="L283" s="19">
        <v>45323</v>
      </c>
      <c r="M283" s="19">
        <v>49429</v>
      </c>
      <c r="N283" s="19"/>
      <c r="O283" s="14">
        <v>135</v>
      </c>
      <c r="P283" s="12">
        <v>12.5</v>
      </c>
      <c r="Q283" s="15"/>
      <c r="R283" s="10">
        <f t="shared" si="66"/>
        <v>12.5</v>
      </c>
      <c r="S283" s="15">
        <v>0.5</v>
      </c>
      <c r="T283" s="12">
        <v>80</v>
      </c>
      <c r="U283" s="10">
        <f t="shared" si="59"/>
        <v>7.1111111111111107</v>
      </c>
      <c r="V283" s="13">
        <v>16</v>
      </c>
      <c r="W283" s="52" t="s">
        <v>40</v>
      </c>
      <c r="X283" s="15">
        <f t="shared" si="67"/>
        <v>16.666666666666664</v>
      </c>
      <c r="Y283" s="16">
        <f t="shared" si="60"/>
        <v>1.4222222222222223</v>
      </c>
      <c r="Z283" s="15">
        <f t="shared" si="61"/>
        <v>1.4814814814814812</v>
      </c>
      <c r="AA283" s="12">
        <f>X283+T283</f>
        <v>96.666666666666657</v>
      </c>
      <c r="AB283" s="15">
        <f t="shared" si="58"/>
        <v>8.5925925925925917</v>
      </c>
      <c r="AC283" s="17">
        <f t="shared" si="62"/>
        <v>0.68740740740740736</v>
      </c>
      <c r="AD283" s="23"/>
      <c r="AH283" s="14" t="s">
        <v>93</v>
      </c>
    </row>
    <row r="284" spans="1:34" s="14" customFormat="1" ht="28.8" x14ac:dyDescent="0.3">
      <c r="A284" s="19">
        <v>44061</v>
      </c>
      <c r="B284" s="14" t="s">
        <v>914</v>
      </c>
      <c r="C284" s="14" t="s">
        <v>915</v>
      </c>
      <c r="D284" s="14" t="s">
        <v>517</v>
      </c>
      <c r="E284" s="14" t="s">
        <v>89</v>
      </c>
      <c r="F284" s="14" t="s">
        <v>90</v>
      </c>
      <c r="G284" s="14" t="s">
        <v>64</v>
      </c>
      <c r="H284" s="20">
        <v>6200</v>
      </c>
      <c r="I284" s="14" t="s">
        <v>39</v>
      </c>
      <c r="K284" s="21"/>
      <c r="L284" s="19">
        <v>44136</v>
      </c>
      <c r="M284" s="19">
        <v>46934</v>
      </c>
      <c r="N284" s="19"/>
      <c r="O284" s="14">
        <v>92</v>
      </c>
      <c r="P284" s="22">
        <v>9.75</v>
      </c>
      <c r="Q284" s="10">
        <v>11.75</v>
      </c>
      <c r="R284" s="10">
        <f t="shared" si="66"/>
        <v>21.5</v>
      </c>
      <c r="S284" s="15">
        <v>0.5</v>
      </c>
      <c r="T284" s="12">
        <v>30</v>
      </c>
      <c r="U284" s="10">
        <f t="shared" si="59"/>
        <v>3.9130434782608696</v>
      </c>
      <c r="V284" s="26">
        <v>8</v>
      </c>
      <c r="W284" s="14" t="s">
        <v>40</v>
      </c>
      <c r="X284" s="15">
        <f t="shared" si="67"/>
        <v>14.333333333333332</v>
      </c>
      <c r="Y284" s="16">
        <f t="shared" si="60"/>
        <v>1.0434782608695652</v>
      </c>
      <c r="Z284" s="15">
        <f t="shared" si="61"/>
        <v>1.8695652173913042</v>
      </c>
      <c r="AA284" s="12">
        <f>T284+X284</f>
        <v>44.333333333333329</v>
      </c>
      <c r="AB284" s="15">
        <f t="shared" si="58"/>
        <v>5.7826086956521729</v>
      </c>
      <c r="AC284" s="17">
        <f t="shared" si="62"/>
        <v>0.59308807134894082</v>
      </c>
      <c r="AD284" s="23" t="s">
        <v>916</v>
      </c>
      <c r="AE284" s="14" t="s">
        <v>288</v>
      </c>
      <c r="AF284" s="14" t="s">
        <v>553</v>
      </c>
      <c r="AG284" s="14" t="s">
        <v>187</v>
      </c>
      <c r="AH284" s="14" t="s">
        <v>750</v>
      </c>
    </row>
    <row r="285" spans="1:34" s="14" customFormat="1" ht="43.2" x14ac:dyDescent="0.3">
      <c r="A285" s="19">
        <v>43951</v>
      </c>
      <c r="B285" s="14" t="s">
        <v>1016</v>
      </c>
      <c r="C285" s="14" t="s">
        <v>60</v>
      </c>
      <c r="D285" s="14" t="s">
        <v>61</v>
      </c>
      <c r="E285" s="14" t="s">
        <v>62</v>
      </c>
      <c r="F285" s="14" t="s">
        <v>63</v>
      </c>
      <c r="G285" s="14" t="s">
        <v>64</v>
      </c>
      <c r="H285" s="20">
        <v>6944</v>
      </c>
      <c r="I285" s="14" t="s">
        <v>74</v>
      </c>
      <c r="K285" s="21">
        <v>43313</v>
      </c>
      <c r="L285" s="19">
        <v>43466</v>
      </c>
      <c r="M285" s="19">
        <v>46904</v>
      </c>
      <c r="N285" s="19"/>
      <c r="O285" s="14">
        <v>113</v>
      </c>
      <c r="P285" s="22">
        <v>13.25</v>
      </c>
      <c r="Q285" s="10">
        <v>14.25</v>
      </c>
      <c r="R285" s="10">
        <f t="shared" si="66"/>
        <v>27.5</v>
      </c>
      <c r="S285" s="15">
        <v>0.5</v>
      </c>
      <c r="T285" s="12">
        <v>11.5</v>
      </c>
      <c r="U285" s="10">
        <f t="shared" si="59"/>
        <v>1.2212389380530975</v>
      </c>
      <c r="V285" s="26">
        <v>2</v>
      </c>
      <c r="W285" s="14" t="s">
        <v>40</v>
      </c>
      <c r="X285" s="15">
        <f t="shared" si="67"/>
        <v>4.583333333333333</v>
      </c>
      <c r="Y285" s="16">
        <f t="shared" si="60"/>
        <v>0.21238938053097348</v>
      </c>
      <c r="Z285" s="15">
        <f t="shared" si="61"/>
        <v>0.48672566371681414</v>
      </c>
      <c r="AA285" s="12">
        <f>X285+T285</f>
        <v>16.083333333333332</v>
      </c>
      <c r="AB285" s="15">
        <f t="shared" si="58"/>
        <v>1.7079646017699115</v>
      </c>
      <c r="AC285" s="17">
        <f t="shared" si="62"/>
        <v>0.1289029888128235</v>
      </c>
      <c r="AD285" s="23" t="s">
        <v>1017</v>
      </c>
      <c r="AE285" s="8" t="s">
        <v>91</v>
      </c>
      <c r="AF285" s="14" t="s">
        <v>995</v>
      </c>
      <c r="AG285" s="14" t="s">
        <v>187</v>
      </c>
      <c r="AH285" s="14" t="s">
        <v>996</v>
      </c>
    </row>
    <row r="286" spans="1:34" s="14" customFormat="1" ht="28.8" x14ac:dyDescent="0.3">
      <c r="A286" s="19">
        <v>43951</v>
      </c>
      <c r="B286" s="14" t="s">
        <v>959</v>
      </c>
      <c r="C286" s="14" t="s">
        <v>437</v>
      </c>
      <c r="D286" s="14" t="s">
        <v>622</v>
      </c>
      <c r="E286" s="14" t="s">
        <v>89</v>
      </c>
      <c r="F286" s="14" t="s">
        <v>90</v>
      </c>
      <c r="G286" s="14" t="s">
        <v>64</v>
      </c>
      <c r="H286" s="20">
        <v>14018</v>
      </c>
      <c r="I286" s="14" t="s">
        <v>39</v>
      </c>
      <c r="K286" s="21"/>
      <c r="L286" s="19">
        <v>43586</v>
      </c>
      <c r="M286" s="19">
        <v>46234</v>
      </c>
      <c r="N286" s="19"/>
      <c r="O286" s="14">
        <v>87</v>
      </c>
      <c r="P286" s="22">
        <v>16.25</v>
      </c>
      <c r="Q286" s="10">
        <v>11.21</v>
      </c>
      <c r="R286" s="10">
        <f t="shared" si="66"/>
        <v>27.46</v>
      </c>
      <c r="S286" s="15">
        <v>0.5</v>
      </c>
      <c r="T286" s="12">
        <v>67</v>
      </c>
      <c r="U286" s="10">
        <f t="shared" si="59"/>
        <v>9.2413793103448274</v>
      </c>
      <c r="V286" s="26">
        <v>3</v>
      </c>
      <c r="W286" s="14" t="s">
        <v>40</v>
      </c>
      <c r="X286" s="15">
        <f t="shared" si="67"/>
        <v>6.8650000000000002</v>
      </c>
      <c r="Y286" s="16">
        <f t="shared" si="60"/>
        <v>0.41379310344827586</v>
      </c>
      <c r="Z286" s="15">
        <f t="shared" si="61"/>
        <v>0.946896551724138</v>
      </c>
      <c r="AA286" s="12">
        <f>X286+T286</f>
        <v>73.864999999999995</v>
      </c>
      <c r="AB286" s="15">
        <f t="shared" si="58"/>
        <v>10.188275862068965</v>
      </c>
      <c r="AC286" s="17">
        <f t="shared" si="62"/>
        <v>0.62697082228116707</v>
      </c>
      <c r="AD286" s="23" t="s">
        <v>439</v>
      </c>
      <c r="AE286" s="14" t="s">
        <v>98</v>
      </c>
      <c r="AF286" s="14" t="s">
        <v>806</v>
      </c>
      <c r="AH286" s="14" t="s">
        <v>92</v>
      </c>
    </row>
    <row r="287" spans="1:34" s="14" customFormat="1" ht="43.2" x14ac:dyDescent="0.3">
      <c r="A287" s="19">
        <v>44985</v>
      </c>
      <c r="B287" s="14" t="s">
        <v>371</v>
      </c>
      <c r="C287" s="14" t="s">
        <v>372</v>
      </c>
      <c r="D287" s="14" t="s">
        <v>373</v>
      </c>
      <c r="E287" s="14" t="s">
        <v>62</v>
      </c>
      <c r="F287" s="14" t="s">
        <v>63</v>
      </c>
      <c r="G287" s="14" t="s">
        <v>64</v>
      </c>
      <c r="H287" s="20">
        <v>14714</v>
      </c>
      <c r="I287" s="14" t="s">
        <v>39</v>
      </c>
      <c r="K287" s="21"/>
      <c r="L287" s="19">
        <v>45078</v>
      </c>
      <c r="M287" s="19">
        <v>48822</v>
      </c>
      <c r="N287" s="19"/>
      <c r="O287" s="14">
        <v>135</v>
      </c>
      <c r="P287" s="22">
        <v>18.5</v>
      </c>
      <c r="Q287" s="10"/>
      <c r="R287" s="10">
        <f t="shared" si="66"/>
        <v>18.5</v>
      </c>
      <c r="S287" s="15">
        <v>0.5</v>
      </c>
      <c r="T287" s="12">
        <v>80</v>
      </c>
      <c r="U287" s="10">
        <f t="shared" si="59"/>
        <v>7.1111111111111107</v>
      </c>
      <c r="V287" s="26">
        <v>15</v>
      </c>
      <c r="W287" s="14" t="s">
        <v>40</v>
      </c>
      <c r="X287" s="15">
        <f t="shared" si="67"/>
        <v>23.125</v>
      </c>
      <c r="Y287" s="16">
        <f t="shared" si="60"/>
        <v>1.3333333333333333</v>
      </c>
      <c r="Z287" s="15">
        <f t="shared" si="61"/>
        <v>2.0555555555555554</v>
      </c>
      <c r="AA287" s="12">
        <f>T287+X287</f>
        <v>103.125</v>
      </c>
      <c r="AB287" s="15">
        <f t="shared" si="58"/>
        <v>9.1666666666666661</v>
      </c>
      <c r="AC287" s="17">
        <f t="shared" si="62"/>
        <v>0.49549549549549549</v>
      </c>
      <c r="AD287" s="23" t="s">
        <v>374</v>
      </c>
      <c r="AG287" s="14" t="s">
        <v>375</v>
      </c>
      <c r="AH287" s="14" t="s">
        <v>376</v>
      </c>
    </row>
    <row r="288" spans="1:34" s="14" customFormat="1" ht="28.8" x14ac:dyDescent="0.3">
      <c r="A288" s="19">
        <v>45805</v>
      </c>
      <c r="B288" s="14" t="s">
        <v>109</v>
      </c>
      <c r="C288" s="14" t="s">
        <v>110</v>
      </c>
      <c r="D288" s="14" t="s">
        <v>111</v>
      </c>
      <c r="E288" s="14" t="s">
        <v>112</v>
      </c>
      <c r="F288" s="14" t="s">
        <v>97</v>
      </c>
      <c r="G288" s="14" t="s">
        <v>64</v>
      </c>
      <c r="H288" s="25">
        <v>53075</v>
      </c>
      <c r="I288" s="14" t="s">
        <v>39</v>
      </c>
      <c r="K288" s="57"/>
      <c r="L288" s="19">
        <v>45139</v>
      </c>
      <c r="M288" s="19">
        <v>49248</v>
      </c>
      <c r="N288" s="19"/>
      <c r="O288" s="14">
        <v>135</v>
      </c>
      <c r="P288" s="12">
        <v>26.25</v>
      </c>
      <c r="Q288" s="15"/>
      <c r="R288" s="10">
        <f t="shared" si="66"/>
        <v>26.25</v>
      </c>
      <c r="S288" s="15">
        <v>0.5</v>
      </c>
      <c r="T288" s="12">
        <v>100</v>
      </c>
      <c r="U288" s="10">
        <f t="shared" si="59"/>
        <v>8.8888888888888893</v>
      </c>
      <c r="V288" s="13">
        <v>16</v>
      </c>
      <c r="W288" s="52" t="s">
        <v>40</v>
      </c>
      <c r="X288" s="15">
        <f t="shared" si="67"/>
        <v>35</v>
      </c>
      <c r="Y288" s="16">
        <f t="shared" si="60"/>
        <v>1.4222222222222223</v>
      </c>
      <c r="Z288" s="15">
        <f t="shared" si="61"/>
        <v>3.1111111111111112</v>
      </c>
      <c r="AA288" s="12">
        <f>X288+T288</f>
        <v>135</v>
      </c>
      <c r="AB288" s="15">
        <f t="shared" ref="AB288:AB319" si="68">AA288/(O288/12)</f>
        <v>12</v>
      </c>
      <c r="AC288" s="17">
        <f t="shared" si="62"/>
        <v>0.45714285714285713</v>
      </c>
      <c r="AD288" s="23"/>
      <c r="AE288" s="14" t="s">
        <v>42</v>
      </c>
      <c r="AF288" s="14" t="s">
        <v>113</v>
      </c>
      <c r="AH288" s="14" t="s">
        <v>93</v>
      </c>
    </row>
    <row r="289" spans="1:34" s="14" customFormat="1" ht="43.2" x14ac:dyDescent="0.3">
      <c r="A289" s="19">
        <v>43951</v>
      </c>
      <c r="B289" s="14" t="s">
        <v>1138</v>
      </c>
      <c r="C289" s="14" t="s">
        <v>1139</v>
      </c>
      <c r="D289" s="14" t="s">
        <v>1140</v>
      </c>
      <c r="E289" s="14" t="s">
        <v>398</v>
      </c>
      <c r="F289" s="14" t="s">
        <v>90</v>
      </c>
      <c r="G289" s="14" t="s">
        <v>64</v>
      </c>
      <c r="H289" s="20">
        <v>200000</v>
      </c>
      <c r="I289" s="14" t="s">
        <v>39</v>
      </c>
      <c r="K289" s="21">
        <v>43374</v>
      </c>
      <c r="L289" s="19">
        <v>43647</v>
      </c>
      <c r="M289" s="19">
        <v>48395</v>
      </c>
      <c r="N289" s="19"/>
      <c r="O289" s="14">
        <v>156</v>
      </c>
      <c r="P289" s="22">
        <v>16</v>
      </c>
      <c r="Q289" s="10">
        <v>2.59</v>
      </c>
      <c r="R289" s="10">
        <f t="shared" si="66"/>
        <v>18.59</v>
      </c>
      <c r="S289" s="15">
        <v>0.5</v>
      </c>
      <c r="T289" s="12">
        <v>60</v>
      </c>
      <c r="U289" s="10">
        <f t="shared" si="59"/>
        <v>4.615384615384615</v>
      </c>
      <c r="V289" s="26">
        <v>7</v>
      </c>
      <c r="W289" s="14" t="s">
        <v>40</v>
      </c>
      <c r="X289" s="15">
        <f t="shared" si="67"/>
        <v>10.844166666666668</v>
      </c>
      <c r="Y289" s="16">
        <f t="shared" si="60"/>
        <v>0.53846153846153844</v>
      </c>
      <c r="Z289" s="15">
        <f t="shared" si="61"/>
        <v>0.83416666666666672</v>
      </c>
      <c r="AA289" s="12">
        <f>X289+T289</f>
        <v>70.844166666666666</v>
      </c>
      <c r="AB289" s="15">
        <f t="shared" si="68"/>
        <v>5.4495512820512824</v>
      </c>
      <c r="AC289" s="17">
        <f t="shared" si="62"/>
        <v>0.34059695512820515</v>
      </c>
      <c r="AD289" s="23" t="s">
        <v>1141</v>
      </c>
      <c r="AE289" s="14" t="s">
        <v>42</v>
      </c>
      <c r="AF289" s="14" t="s">
        <v>1142</v>
      </c>
      <c r="AH289" s="14" t="s">
        <v>1143</v>
      </c>
    </row>
    <row r="290" spans="1:34" s="14" customFormat="1" ht="28.8" x14ac:dyDescent="0.3">
      <c r="A290" s="19">
        <v>45279</v>
      </c>
      <c r="B290" s="14" t="s">
        <v>303</v>
      </c>
      <c r="C290" s="14" t="s">
        <v>304</v>
      </c>
      <c r="D290" s="14" t="s">
        <v>305</v>
      </c>
      <c r="E290" s="14" t="s">
        <v>144</v>
      </c>
      <c r="F290" s="14" t="s">
        <v>37</v>
      </c>
      <c r="G290" s="14" t="s">
        <v>64</v>
      </c>
      <c r="H290" s="27">
        <v>19417</v>
      </c>
      <c r="I290" s="14" t="s">
        <v>39</v>
      </c>
      <c r="K290" s="21"/>
      <c r="L290" s="19">
        <v>45383</v>
      </c>
      <c r="M290" s="19"/>
      <c r="N290" s="19"/>
      <c r="O290" s="14">
        <v>132</v>
      </c>
      <c r="P290" s="12">
        <v>18</v>
      </c>
      <c r="Q290" s="15">
        <v>13.04</v>
      </c>
      <c r="R290" s="10">
        <f t="shared" si="66"/>
        <v>31.04</v>
      </c>
      <c r="S290" s="15">
        <v>0.5</v>
      </c>
      <c r="T290" s="12">
        <v>85</v>
      </c>
      <c r="U290" s="10">
        <f t="shared" si="59"/>
        <v>7.7272727272727275</v>
      </c>
      <c r="V290" s="26">
        <v>12</v>
      </c>
      <c r="W290" s="14" t="s">
        <v>40</v>
      </c>
      <c r="X290" s="15">
        <f t="shared" si="67"/>
        <v>31.04</v>
      </c>
      <c r="Y290" s="16">
        <f t="shared" si="60"/>
        <v>1.0909090909090908</v>
      </c>
      <c r="Z290" s="15">
        <f t="shared" si="61"/>
        <v>2.8218181818181818</v>
      </c>
      <c r="AA290" s="12">
        <f>X290+T290</f>
        <v>116.03999999999999</v>
      </c>
      <c r="AB290" s="15">
        <f t="shared" si="68"/>
        <v>10.549090909090909</v>
      </c>
      <c r="AC290" s="17">
        <f t="shared" si="62"/>
        <v>0.58606060606060606</v>
      </c>
      <c r="AD290" s="23"/>
    </row>
    <row r="291" spans="1:34" s="14" customFormat="1" ht="28.8" x14ac:dyDescent="0.3">
      <c r="A291" s="19">
        <v>43951</v>
      </c>
      <c r="B291" s="14" t="s">
        <v>1023</v>
      </c>
      <c r="C291" s="14" t="s">
        <v>1024</v>
      </c>
      <c r="D291" s="14" t="s">
        <v>1025</v>
      </c>
      <c r="E291" s="14" t="s">
        <v>89</v>
      </c>
      <c r="F291" s="14" t="s">
        <v>90</v>
      </c>
      <c r="G291" s="14" t="s">
        <v>64</v>
      </c>
      <c r="H291" s="20">
        <v>44323</v>
      </c>
      <c r="I291" s="14" t="s">
        <v>74</v>
      </c>
      <c r="K291" s="21"/>
      <c r="L291" s="19">
        <v>44228</v>
      </c>
      <c r="M291" s="19">
        <v>46996</v>
      </c>
      <c r="N291" s="19"/>
      <c r="O291" s="14">
        <v>91</v>
      </c>
      <c r="P291" s="22">
        <v>10.84</v>
      </c>
      <c r="Q291" s="10">
        <v>8.16</v>
      </c>
      <c r="R291" s="10">
        <f t="shared" si="66"/>
        <v>19</v>
      </c>
      <c r="S291" s="11">
        <v>0.03</v>
      </c>
      <c r="T291" s="12">
        <v>17.5</v>
      </c>
      <c r="U291" s="10">
        <f t="shared" si="59"/>
        <v>2.3076923076923079</v>
      </c>
      <c r="V291" s="26">
        <v>7</v>
      </c>
      <c r="W291" s="14" t="s">
        <v>40</v>
      </c>
      <c r="X291" s="15">
        <f t="shared" si="67"/>
        <v>11.083333333333334</v>
      </c>
      <c r="Y291" s="16">
        <f t="shared" si="60"/>
        <v>0.92307692307692313</v>
      </c>
      <c r="Z291" s="15">
        <f t="shared" si="61"/>
        <v>1.4615384615384617</v>
      </c>
      <c r="AA291" s="12">
        <f>X291+T291</f>
        <v>28.583333333333336</v>
      </c>
      <c r="AB291" s="15">
        <f t="shared" si="68"/>
        <v>3.7692307692307696</v>
      </c>
      <c r="AC291" s="17">
        <f t="shared" si="62"/>
        <v>0.3477150156116946</v>
      </c>
      <c r="AD291" s="23" t="s">
        <v>1026</v>
      </c>
      <c r="AG291" s="14" t="s">
        <v>1027</v>
      </c>
      <c r="AH291" s="14" t="s">
        <v>92</v>
      </c>
    </row>
    <row r="292" spans="1:34" s="14" customFormat="1" ht="57.6" x14ac:dyDescent="0.3">
      <c r="A292" s="19">
        <v>43951</v>
      </c>
      <c r="B292" s="14" t="s">
        <v>1028</v>
      </c>
      <c r="C292" s="14" t="s">
        <v>215</v>
      </c>
      <c r="D292" s="14" t="s">
        <v>1029</v>
      </c>
      <c r="E292" s="14" t="s">
        <v>62</v>
      </c>
      <c r="F292" s="14" t="s">
        <v>63</v>
      </c>
      <c r="G292" s="14" t="s">
        <v>64</v>
      </c>
      <c r="H292" s="20">
        <v>296833</v>
      </c>
      <c r="I292" s="14" t="s">
        <v>74</v>
      </c>
      <c r="K292" s="21">
        <v>43770</v>
      </c>
      <c r="L292" s="19">
        <v>45200</v>
      </c>
      <c r="M292" s="19">
        <v>47177</v>
      </c>
      <c r="N292" s="19"/>
      <c r="O292" s="14">
        <v>65</v>
      </c>
      <c r="P292" s="22">
        <v>22</v>
      </c>
      <c r="Q292" s="10">
        <v>17.91</v>
      </c>
      <c r="R292" s="10">
        <f t="shared" si="66"/>
        <v>39.909999999999997</v>
      </c>
      <c r="S292" s="15">
        <v>0.6</v>
      </c>
      <c r="T292" s="12">
        <v>35</v>
      </c>
      <c r="U292" s="10">
        <f t="shared" si="59"/>
        <v>6.4615384615384608</v>
      </c>
      <c r="V292" s="26">
        <v>5</v>
      </c>
      <c r="W292" s="14" t="s">
        <v>169</v>
      </c>
      <c r="X292" s="15">
        <f t="shared" si="67"/>
        <v>16.629166666666666</v>
      </c>
      <c r="Y292" s="16">
        <f t="shared" si="60"/>
        <v>0.92307692307692302</v>
      </c>
      <c r="Z292" s="15">
        <f t="shared" si="61"/>
        <v>3.07</v>
      </c>
      <c r="AA292" s="12">
        <f>T292+X292</f>
        <v>51.629166666666663</v>
      </c>
      <c r="AB292" s="15">
        <f t="shared" si="68"/>
        <v>9.5315384615384602</v>
      </c>
      <c r="AC292" s="17">
        <f t="shared" si="62"/>
        <v>0.43325174825174817</v>
      </c>
      <c r="AD292" s="23" t="s">
        <v>1030</v>
      </c>
      <c r="AE292" s="8" t="s">
        <v>91</v>
      </c>
      <c r="AF292" s="14" t="s">
        <v>1031</v>
      </c>
      <c r="AG292" s="14" t="s">
        <v>1032</v>
      </c>
      <c r="AH292" s="14" t="s">
        <v>116</v>
      </c>
    </row>
    <row r="293" spans="1:34" s="14" customFormat="1" ht="28.8" x14ac:dyDescent="0.3">
      <c r="A293" s="19">
        <v>43951</v>
      </c>
      <c r="B293" s="14" t="s">
        <v>1088</v>
      </c>
      <c r="C293" s="14" t="s">
        <v>712</v>
      </c>
      <c r="D293" s="14" t="s">
        <v>1089</v>
      </c>
      <c r="E293" s="14" t="s">
        <v>714</v>
      </c>
      <c r="F293" s="14" t="s">
        <v>54</v>
      </c>
      <c r="G293" s="14" t="s">
        <v>64</v>
      </c>
      <c r="H293" s="20">
        <v>17049</v>
      </c>
      <c r="I293" s="14" t="s">
        <v>39</v>
      </c>
      <c r="K293" s="21">
        <v>43466</v>
      </c>
      <c r="L293" s="19">
        <v>43770</v>
      </c>
      <c r="M293" s="19">
        <v>47787</v>
      </c>
      <c r="N293" s="19"/>
      <c r="O293" s="14">
        <v>132</v>
      </c>
      <c r="P293" s="22">
        <v>11.25</v>
      </c>
      <c r="Q293" s="10">
        <v>8.39</v>
      </c>
      <c r="R293" s="10">
        <f t="shared" si="66"/>
        <v>19.64</v>
      </c>
      <c r="S293" s="15">
        <v>0.5</v>
      </c>
      <c r="T293" s="12">
        <v>52</v>
      </c>
      <c r="U293" s="10">
        <f t="shared" si="59"/>
        <v>4.7272727272727275</v>
      </c>
      <c r="V293" s="26">
        <v>12</v>
      </c>
      <c r="X293" s="15">
        <f t="shared" si="67"/>
        <v>19.64</v>
      </c>
      <c r="Y293" s="16">
        <f t="shared" si="60"/>
        <v>1.0909090909090908</v>
      </c>
      <c r="Z293" s="15">
        <f t="shared" ref="Z293:Z316" si="69">X293/(O293/12)</f>
        <v>1.7854545454545454</v>
      </c>
      <c r="AA293" s="12">
        <f t="shared" ref="AA293:AA298" si="70">X293+T293</f>
        <v>71.64</v>
      </c>
      <c r="AB293" s="15">
        <f t="shared" si="68"/>
        <v>6.5127272727272727</v>
      </c>
      <c r="AC293" s="17">
        <f t="shared" ref="AC293:AC324" si="71">AB293/P293</f>
        <v>0.57890909090909093</v>
      </c>
      <c r="AD293" s="23" t="s">
        <v>715</v>
      </c>
    </row>
    <row r="294" spans="1:34" s="14" customFormat="1" ht="43.2" x14ac:dyDescent="0.3">
      <c r="A294" s="19">
        <v>44602</v>
      </c>
      <c r="B294" s="14" t="s">
        <v>674</v>
      </c>
      <c r="C294" s="14" t="s">
        <v>675</v>
      </c>
      <c r="D294" s="14" t="s">
        <v>676</v>
      </c>
      <c r="E294" s="14" t="s">
        <v>103</v>
      </c>
      <c r="F294" s="14" t="s">
        <v>37</v>
      </c>
      <c r="G294" s="14" t="s">
        <v>38</v>
      </c>
      <c r="H294" s="20">
        <v>16477</v>
      </c>
      <c r="I294" s="14" t="s">
        <v>74</v>
      </c>
      <c r="K294" s="21"/>
      <c r="L294" s="19">
        <v>44713</v>
      </c>
      <c r="M294" s="19">
        <v>46691</v>
      </c>
      <c r="N294" s="19">
        <v>45961</v>
      </c>
      <c r="O294" s="14">
        <v>65</v>
      </c>
      <c r="P294" s="22">
        <v>18.399999999999999</v>
      </c>
      <c r="Q294" s="10">
        <v>10.77</v>
      </c>
      <c r="R294" s="10">
        <f t="shared" si="66"/>
        <v>29.169999999999998</v>
      </c>
      <c r="S294" s="15">
        <v>0.5</v>
      </c>
      <c r="T294" s="12">
        <v>27.5</v>
      </c>
      <c r="U294" s="10">
        <f t="shared" si="59"/>
        <v>5.0769230769230766</v>
      </c>
      <c r="V294" s="26">
        <v>5</v>
      </c>
      <c r="W294" s="14" t="s">
        <v>40</v>
      </c>
      <c r="X294" s="15">
        <f t="shared" si="67"/>
        <v>12.154166666666667</v>
      </c>
      <c r="Y294" s="16">
        <f t="shared" si="60"/>
        <v>0.92307692307692302</v>
      </c>
      <c r="Z294" s="15">
        <f t="shared" si="69"/>
        <v>2.2438461538461536</v>
      </c>
      <c r="AA294" s="12">
        <f t="shared" si="70"/>
        <v>39.654166666666669</v>
      </c>
      <c r="AB294" s="15">
        <f t="shared" si="68"/>
        <v>7.3207692307692307</v>
      </c>
      <c r="AC294" s="17">
        <f t="shared" si="71"/>
        <v>0.39786789297658864</v>
      </c>
      <c r="AD294" s="23" t="s">
        <v>677</v>
      </c>
      <c r="AE294" s="14" t="s">
        <v>186</v>
      </c>
      <c r="AG294" s="14" t="s">
        <v>678</v>
      </c>
      <c r="AH294" s="14" t="s">
        <v>230</v>
      </c>
    </row>
    <row r="295" spans="1:34" s="14" customFormat="1" ht="28.8" x14ac:dyDescent="0.3">
      <c r="A295" s="19">
        <v>45281</v>
      </c>
      <c r="B295" s="14" t="s">
        <v>282</v>
      </c>
      <c r="C295" s="14" t="s">
        <v>207</v>
      </c>
      <c r="D295" s="14" t="s">
        <v>208</v>
      </c>
      <c r="E295" s="14" t="s">
        <v>62</v>
      </c>
      <c r="F295" s="14" t="s">
        <v>63</v>
      </c>
      <c r="G295" s="14" t="s">
        <v>64</v>
      </c>
      <c r="H295" s="27">
        <v>6769</v>
      </c>
      <c r="I295" s="14" t="s">
        <v>39</v>
      </c>
      <c r="K295" s="21"/>
      <c r="L295" s="19">
        <v>45292</v>
      </c>
      <c r="M295" s="19">
        <v>48395</v>
      </c>
      <c r="N295" s="19"/>
      <c r="O295" s="14">
        <v>102</v>
      </c>
      <c r="P295" s="12">
        <v>21.5</v>
      </c>
      <c r="Q295" s="15">
        <v>18.53</v>
      </c>
      <c r="R295" s="10">
        <f t="shared" si="66"/>
        <v>40.03</v>
      </c>
      <c r="S295" s="15">
        <v>0.5</v>
      </c>
      <c r="T295" s="12">
        <f>67.5+(50000/H295)</f>
        <v>74.886615452799532</v>
      </c>
      <c r="U295" s="10">
        <f t="shared" si="59"/>
        <v>8.8101900532705333</v>
      </c>
      <c r="V295" s="26">
        <v>2</v>
      </c>
      <c r="W295" s="52" t="s">
        <v>40</v>
      </c>
      <c r="X295" s="15">
        <f t="shared" si="67"/>
        <v>6.6716666666666669</v>
      </c>
      <c r="Y295" s="16">
        <f t="shared" si="60"/>
        <v>0.23529411764705882</v>
      </c>
      <c r="Z295" s="15">
        <f t="shared" si="69"/>
        <v>0.78490196078431373</v>
      </c>
      <c r="AA295" s="12">
        <f t="shared" si="70"/>
        <v>81.558282119466199</v>
      </c>
      <c r="AB295" s="15">
        <f t="shared" si="68"/>
        <v>9.5950920140548472</v>
      </c>
      <c r="AC295" s="17">
        <f t="shared" si="71"/>
        <v>0.44628334949092313</v>
      </c>
      <c r="AD295" s="23" t="s">
        <v>209</v>
      </c>
    </row>
    <row r="296" spans="1:34" s="14" customFormat="1" ht="28.8" x14ac:dyDescent="0.3">
      <c r="A296" s="19">
        <v>45805</v>
      </c>
      <c r="B296" s="14" t="s">
        <v>127</v>
      </c>
      <c r="C296" s="14" t="s">
        <v>128</v>
      </c>
      <c r="D296" s="14" t="s">
        <v>129</v>
      </c>
      <c r="E296" s="14" t="s">
        <v>103</v>
      </c>
      <c r="F296" s="14" t="s">
        <v>37</v>
      </c>
      <c r="G296" s="14" t="s">
        <v>64</v>
      </c>
      <c r="H296" s="25">
        <v>127743</v>
      </c>
      <c r="I296" s="14" t="s">
        <v>39</v>
      </c>
      <c r="K296" s="57"/>
      <c r="L296" s="19">
        <v>45992</v>
      </c>
      <c r="M296" s="19">
        <v>50191</v>
      </c>
      <c r="N296" s="19"/>
      <c r="O296" s="14">
        <v>150</v>
      </c>
      <c r="P296" s="12">
        <v>22</v>
      </c>
      <c r="Q296" s="15"/>
      <c r="R296" s="10">
        <f t="shared" si="66"/>
        <v>22</v>
      </c>
      <c r="S296" s="15">
        <v>0.5</v>
      </c>
      <c r="T296" s="12">
        <v>17.5</v>
      </c>
      <c r="U296" s="10">
        <f t="shared" si="59"/>
        <v>1.4</v>
      </c>
      <c r="V296" s="13">
        <v>16</v>
      </c>
      <c r="W296" s="52" t="s">
        <v>40</v>
      </c>
      <c r="X296" s="15">
        <f t="shared" si="67"/>
        <v>29.333333333333332</v>
      </c>
      <c r="Y296" s="16">
        <f t="shared" si="60"/>
        <v>1.28</v>
      </c>
      <c r="Z296" s="15">
        <f t="shared" si="69"/>
        <v>2.3466666666666667</v>
      </c>
      <c r="AA296" s="12">
        <f t="shared" si="70"/>
        <v>46.833333333333329</v>
      </c>
      <c r="AB296" s="15">
        <f t="shared" si="68"/>
        <v>3.7466666666666661</v>
      </c>
      <c r="AC296" s="17">
        <f t="shared" si="71"/>
        <v>0.17030303030303029</v>
      </c>
      <c r="AD296" s="23"/>
      <c r="AH296" s="14" t="s">
        <v>49</v>
      </c>
    </row>
    <row r="297" spans="1:34" s="14" customFormat="1" x14ac:dyDescent="0.3">
      <c r="A297" s="19">
        <v>45281</v>
      </c>
      <c r="B297" s="14" t="s">
        <v>295</v>
      </c>
      <c r="C297" s="14" t="s">
        <v>271</v>
      </c>
      <c r="D297" s="14" t="s">
        <v>272</v>
      </c>
      <c r="E297" s="14" t="s">
        <v>62</v>
      </c>
      <c r="F297" s="14" t="s">
        <v>63</v>
      </c>
      <c r="G297" s="14" t="s">
        <v>64</v>
      </c>
      <c r="H297" s="27">
        <v>11724</v>
      </c>
      <c r="I297" s="19" t="s">
        <v>74</v>
      </c>
      <c r="J297" s="19"/>
      <c r="K297" s="21"/>
      <c r="L297" s="19">
        <v>45078</v>
      </c>
      <c r="M297" s="19"/>
      <c r="N297" s="19"/>
      <c r="O297" s="14">
        <f>8*12</f>
        <v>96</v>
      </c>
      <c r="P297" s="12">
        <v>19.25</v>
      </c>
      <c r="Q297" s="15">
        <f>9.7+8.02</f>
        <v>17.72</v>
      </c>
      <c r="R297" s="10">
        <f t="shared" si="66"/>
        <v>36.97</v>
      </c>
      <c r="S297" s="43">
        <v>0.03</v>
      </c>
      <c r="T297" s="12">
        <v>46</v>
      </c>
      <c r="U297" s="10">
        <f t="shared" si="59"/>
        <v>5.75</v>
      </c>
      <c r="V297" s="26">
        <f>(P297/R297)*11</f>
        <v>5.7276169867460105</v>
      </c>
      <c r="W297" s="52" t="s">
        <v>40</v>
      </c>
      <c r="X297" s="15">
        <f t="shared" si="67"/>
        <v>17.645833333333332</v>
      </c>
      <c r="Y297" s="16">
        <f t="shared" si="60"/>
        <v>0.71595212334325131</v>
      </c>
      <c r="Z297" s="15">
        <f t="shared" si="69"/>
        <v>2.2057291666666665</v>
      </c>
      <c r="AA297" s="12">
        <f t="shared" si="70"/>
        <v>63.645833333333329</v>
      </c>
      <c r="AB297" s="15">
        <f t="shared" si="68"/>
        <v>7.9557291666666661</v>
      </c>
      <c r="AC297" s="17">
        <f t="shared" si="71"/>
        <v>0.413284632034632</v>
      </c>
      <c r="AD297" s="23"/>
    </row>
    <row r="298" spans="1:34" s="14" customFormat="1" ht="28.8" x14ac:dyDescent="0.3">
      <c r="A298" s="19">
        <v>46049</v>
      </c>
      <c r="B298" s="14" t="s">
        <v>1334</v>
      </c>
      <c r="C298" s="14" t="s">
        <v>161</v>
      </c>
      <c r="D298" s="14" t="s">
        <v>1332</v>
      </c>
      <c r="E298" s="14" t="s">
        <v>163</v>
      </c>
      <c r="F298" s="14" t="s">
        <v>90</v>
      </c>
      <c r="G298" s="14" t="s">
        <v>64</v>
      </c>
      <c r="H298" s="27">
        <v>128894</v>
      </c>
      <c r="I298" s="19" t="s">
        <v>414</v>
      </c>
      <c r="J298" s="19"/>
      <c r="K298" s="21">
        <v>45931</v>
      </c>
      <c r="L298" s="19">
        <v>46874</v>
      </c>
      <c r="M298" s="19">
        <v>49795</v>
      </c>
      <c r="N298" s="19"/>
      <c r="O298" s="14">
        <v>96</v>
      </c>
      <c r="P298" s="12">
        <v>16.75</v>
      </c>
      <c r="Q298" s="15"/>
      <c r="R298" s="10"/>
      <c r="S298" s="28">
        <v>0.5</v>
      </c>
      <c r="T298" s="12">
        <v>5</v>
      </c>
      <c r="U298" s="10">
        <f t="shared" si="59"/>
        <v>0.625</v>
      </c>
      <c r="V298" s="26">
        <v>12</v>
      </c>
      <c r="W298" s="52" t="s">
        <v>40</v>
      </c>
      <c r="X298" s="15">
        <f t="shared" si="67"/>
        <v>0</v>
      </c>
      <c r="Y298" s="16">
        <f t="shared" si="60"/>
        <v>1.5</v>
      </c>
      <c r="Z298" s="15">
        <f t="shared" si="69"/>
        <v>0</v>
      </c>
      <c r="AA298" s="12">
        <f t="shared" si="70"/>
        <v>5</v>
      </c>
      <c r="AB298" s="15">
        <f t="shared" si="68"/>
        <v>0.625</v>
      </c>
      <c r="AC298" s="17">
        <f t="shared" si="71"/>
        <v>3.7313432835820892E-2</v>
      </c>
      <c r="AD298" s="23"/>
      <c r="AE298" s="14" t="s">
        <v>91</v>
      </c>
      <c r="AF298" s="14" t="s">
        <v>1333</v>
      </c>
      <c r="AH298" s="14" t="s">
        <v>394</v>
      </c>
    </row>
    <row r="299" spans="1:34" s="14" customFormat="1" ht="28.8" x14ac:dyDescent="0.3">
      <c r="A299" s="19">
        <v>44929</v>
      </c>
      <c r="B299" s="14" t="s">
        <v>498</v>
      </c>
      <c r="C299" s="14" t="s">
        <v>232</v>
      </c>
      <c r="D299" s="14" t="s">
        <v>499</v>
      </c>
      <c r="E299" s="14" t="s">
        <v>194</v>
      </c>
      <c r="F299" s="14" t="s">
        <v>63</v>
      </c>
      <c r="G299" s="14" t="s">
        <v>64</v>
      </c>
      <c r="H299" s="20">
        <v>5368</v>
      </c>
      <c r="I299" s="14" t="s">
        <v>39</v>
      </c>
      <c r="K299" s="21"/>
      <c r="L299" s="19">
        <v>44958</v>
      </c>
      <c r="M299" s="19">
        <v>47817</v>
      </c>
      <c r="N299" s="19"/>
      <c r="O299" s="14">
        <v>94</v>
      </c>
      <c r="P299" s="22">
        <v>21.75</v>
      </c>
      <c r="Q299" s="10">
        <v>15.6</v>
      </c>
      <c r="R299" s="10">
        <f t="shared" ref="R299:R314" si="72">P299+Q299</f>
        <v>37.35</v>
      </c>
      <c r="S299" s="15">
        <v>0.5</v>
      </c>
      <c r="T299" s="12">
        <v>10</v>
      </c>
      <c r="U299" s="10">
        <f t="shared" si="59"/>
        <v>1.2765957446808511</v>
      </c>
      <c r="V299" s="26">
        <v>10</v>
      </c>
      <c r="W299" s="14" t="s">
        <v>40</v>
      </c>
      <c r="X299" s="15">
        <f t="shared" si="67"/>
        <v>31.125000000000004</v>
      </c>
      <c r="Y299" s="16">
        <f t="shared" si="60"/>
        <v>1.2765957446808511</v>
      </c>
      <c r="Z299" s="15">
        <f t="shared" si="69"/>
        <v>3.9734042553191498</v>
      </c>
      <c r="AA299" s="12">
        <f>T299+X299</f>
        <v>41.125</v>
      </c>
      <c r="AB299" s="15">
        <f t="shared" si="68"/>
        <v>5.25</v>
      </c>
      <c r="AC299" s="17">
        <f t="shared" si="71"/>
        <v>0.2413793103448276</v>
      </c>
      <c r="AD299" s="23" t="s">
        <v>234</v>
      </c>
      <c r="AE299" s="14" t="s">
        <v>500</v>
      </c>
      <c r="AF299" s="14" t="s">
        <v>501</v>
      </c>
      <c r="AG299" s="14" t="s">
        <v>502</v>
      </c>
      <c r="AH299" s="14" t="s">
        <v>490</v>
      </c>
    </row>
    <row r="300" spans="1:34" s="14" customFormat="1" ht="28.8" x14ac:dyDescent="0.3">
      <c r="A300" s="19">
        <v>44928</v>
      </c>
      <c r="B300" s="14" t="s">
        <v>512</v>
      </c>
      <c r="C300" s="14" t="s">
        <v>509</v>
      </c>
      <c r="D300" s="14" t="s">
        <v>247</v>
      </c>
      <c r="E300" s="14" t="s">
        <v>194</v>
      </c>
      <c r="F300" s="14" t="s">
        <v>63</v>
      </c>
      <c r="G300" s="14" t="s">
        <v>64</v>
      </c>
      <c r="H300" s="20">
        <v>6183</v>
      </c>
      <c r="I300" s="14" t="s">
        <v>39</v>
      </c>
      <c r="K300" s="21"/>
      <c r="L300" s="19">
        <v>45017</v>
      </c>
      <c r="M300" s="19">
        <v>49309</v>
      </c>
      <c r="N300" s="19"/>
      <c r="O300" s="14">
        <v>144</v>
      </c>
      <c r="P300" s="22">
        <v>14.5</v>
      </c>
      <c r="Q300" s="10">
        <v>13.99</v>
      </c>
      <c r="R300" s="10">
        <f t="shared" si="72"/>
        <v>28.490000000000002</v>
      </c>
      <c r="S300" s="15">
        <v>0.5</v>
      </c>
      <c r="T300" s="12">
        <v>78</v>
      </c>
      <c r="U300" s="10">
        <f t="shared" si="59"/>
        <v>6.5</v>
      </c>
      <c r="V300" s="13">
        <v>0</v>
      </c>
      <c r="X300" s="15">
        <f t="shared" si="67"/>
        <v>0</v>
      </c>
      <c r="Y300" s="16">
        <f t="shared" si="60"/>
        <v>0</v>
      </c>
      <c r="Z300" s="15">
        <f t="shared" si="69"/>
        <v>0</v>
      </c>
      <c r="AA300" s="12">
        <f>T300+X300</f>
        <v>78</v>
      </c>
      <c r="AB300" s="15">
        <f t="shared" si="68"/>
        <v>6.5</v>
      </c>
      <c r="AC300" s="17">
        <f t="shared" si="71"/>
        <v>0.44827586206896552</v>
      </c>
      <c r="AD300" s="23" t="s">
        <v>248</v>
      </c>
      <c r="AE300" s="8" t="s">
        <v>91</v>
      </c>
      <c r="AF300" s="14" t="s">
        <v>225</v>
      </c>
      <c r="AH300" s="14" t="s">
        <v>511</v>
      </c>
    </row>
    <row r="301" spans="1:34" s="14" customFormat="1" ht="100.8" x14ac:dyDescent="0.3">
      <c r="A301" s="19">
        <v>44663</v>
      </c>
      <c r="B301" s="14" t="s">
        <v>639</v>
      </c>
      <c r="D301" s="14" t="s">
        <v>640</v>
      </c>
      <c r="E301" s="14" t="s">
        <v>103</v>
      </c>
      <c r="F301" s="14" t="s">
        <v>37</v>
      </c>
      <c r="G301" s="14" t="s">
        <v>552</v>
      </c>
      <c r="H301" s="20">
        <v>25414</v>
      </c>
      <c r="I301" s="14" t="s">
        <v>74</v>
      </c>
      <c r="K301" s="21"/>
      <c r="L301" s="19">
        <v>44835</v>
      </c>
      <c r="M301" s="19">
        <v>49003</v>
      </c>
      <c r="N301" s="19">
        <v>46965</v>
      </c>
      <c r="O301" s="14">
        <v>137</v>
      </c>
      <c r="P301" s="22"/>
      <c r="Q301" s="10"/>
      <c r="R301" s="10">
        <f t="shared" si="72"/>
        <v>0</v>
      </c>
      <c r="S301" s="15">
        <v>0.5</v>
      </c>
      <c r="T301" s="12">
        <v>25</v>
      </c>
      <c r="U301" s="10">
        <f t="shared" si="59"/>
        <v>2.1897810218978102</v>
      </c>
      <c r="V301" s="26">
        <v>20</v>
      </c>
      <c r="W301" s="14" t="s">
        <v>40</v>
      </c>
      <c r="X301" s="15">
        <f t="shared" si="67"/>
        <v>0</v>
      </c>
      <c r="Y301" s="16">
        <f t="shared" si="60"/>
        <v>1.7518248175182483</v>
      </c>
      <c r="Z301" s="15">
        <f t="shared" si="69"/>
        <v>0</v>
      </c>
      <c r="AA301" s="12">
        <f>X301+T301</f>
        <v>25</v>
      </c>
      <c r="AB301" s="15">
        <f t="shared" si="68"/>
        <v>2.1897810218978102</v>
      </c>
      <c r="AC301" s="17"/>
      <c r="AD301" s="23" t="s">
        <v>518</v>
      </c>
      <c r="AE301" s="14" t="s">
        <v>500</v>
      </c>
      <c r="AF301" s="14" t="s">
        <v>501</v>
      </c>
      <c r="AG301" s="14" t="s">
        <v>641</v>
      </c>
      <c r="AH301" s="14" t="s">
        <v>642</v>
      </c>
    </row>
    <row r="302" spans="1:34" s="14" customFormat="1" ht="28.8" x14ac:dyDescent="0.3">
      <c r="A302" s="19">
        <v>45411</v>
      </c>
      <c r="B302" s="14" t="s">
        <v>231</v>
      </c>
      <c r="C302" s="14" t="s">
        <v>232</v>
      </c>
      <c r="D302" s="14" t="s">
        <v>233</v>
      </c>
      <c r="E302" s="14" t="s">
        <v>194</v>
      </c>
      <c r="F302" s="14" t="s">
        <v>63</v>
      </c>
      <c r="G302" s="14" t="s">
        <v>64</v>
      </c>
      <c r="H302" s="20">
        <v>6059</v>
      </c>
      <c r="I302" s="14" t="s">
        <v>74</v>
      </c>
      <c r="K302" s="21"/>
      <c r="L302" s="19">
        <v>45292</v>
      </c>
      <c r="M302" s="19">
        <v>48091</v>
      </c>
      <c r="N302" s="19"/>
      <c r="O302" s="14">
        <v>92</v>
      </c>
      <c r="P302" s="22">
        <v>20.75</v>
      </c>
      <c r="Q302" s="10">
        <v>15.92</v>
      </c>
      <c r="R302" s="10">
        <f t="shared" si="72"/>
        <v>36.67</v>
      </c>
      <c r="S302" s="15">
        <v>0.5</v>
      </c>
      <c r="T302" s="12">
        <v>15</v>
      </c>
      <c r="U302" s="10">
        <f t="shared" si="59"/>
        <v>1.9565217391304348</v>
      </c>
      <c r="V302" s="26">
        <v>8</v>
      </c>
      <c r="W302" s="14" t="s">
        <v>40</v>
      </c>
      <c r="X302" s="15">
        <f t="shared" si="67"/>
        <v>24.446666666666665</v>
      </c>
      <c r="Y302" s="16">
        <f t="shared" si="60"/>
        <v>1.0434782608695652</v>
      </c>
      <c r="Z302" s="15">
        <f t="shared" si="69"/>
        <v>3.1886956521739127</v>
      </c>
      <c r="AA302" s="12">
        <f>X302+T302</f>
        <v>39.446666666666665</v>
      </c>
      <c r="AB302" s="15">
        <f t="shared" si="68"/>
        <v>5.1452173913043477</v>
      </c>
      <c r="AC302" s="17">
        <f t="shared" ref="AC302:AC314" si="73">AB302/P302</f>
        <v>0.24796228391828182</v>
      </c>
      <c r="AD302" s="23" t="s">
        <v>234</v>
      </c>
      <c r="AE302" s="14" t="s">
        <v>47</v>
      </c>
      <c r="AF302" s="14" t="s">
        <v>235</v>
      </c>
      <c r="AH302" s="14" t="s">
        <v>188</v>
      </c>
    </row>
    <row r="303" spans="1:34" s="14" customFormat="1" x14ac:dyDescent="0.3">
      <c r="A303" s="19">
        <v>45281</v>
      </c>
      <c r="B303" s="14" t="s">
        <v>274</v>
      </c>
      <c r="C303" s="14" t="s">
        <v>215</v>
      </c>
      <c r="D303" s="14" t="s">
        <v>275</v>
      </c>
      <c r="E303" s="14" t="s">
        <v>62</v>
      </c>
      <c r="F303" s="14" t="s">
        <v>63</v>
      </c>
      <c r="G303" s="14" t="s">
        <v>64</v>
      </c>
      <c r="H303" s="27">
        <v>24225</v>
      </c>
      <c r="I303" s="19" t="s">
        <v>74</v>
      </c>
      <c r="J303" s="19"/>
      <c r="K303" s="21"/>
      <c r="L303" s="19">
        <v>45323</v>
      </c>
      <c r="M303" s="19">
        <v>47391</v>
      </c>
      <c r="N303" s="19"/>
      <c r="O303" s="14">
        <v>68</v>
      </c>
      <c r="P303" s="12">
        <v>20.5</v>
      </c>
      <c r="Q303" s="15">
        <v>16.899999999999999</v>
      </c>
      <c r="R303" s="10">
        <f t="shared" si="72"/>
        <v>37.4</v>
      </c>
      <c r="S303" s="15">
        <v>0.5</v>
      </c>
      <c r="T303" s="12">
        <v>17.5</v>
      </c>
      <c r="U303" s="10">
        <f t="shared" si="59"/>
        <v>3.0882352941176467</v>
      </c>
      <c r="V303" s="26">
        <v>8</v>
      </c>
      <c r="W303" s="52" t="s">
        <v>40</v>
      </c>
      <c r="X303" s="15">
        <f t="shared" si="67"/>
        <v>24.93333333333333</v>
      </c>
      <c r="Y303" s="16">
        <f t="shared" si="60"/>
        <v>1.4117647058823528</v>
      </c>
      <c r="Z303" s="15">
        <f t="shared" si="69"/>
        <v>4.3999999999999995</v>
      </c>
      <c r="AA303" s="12">
        <f>X303+T303</f>
        <v>42.43333333333333</v>
      </c>
      <c r="AB303" s="15">
        <f t="shared" si="68"/>
        <v>7.4882352941176462</v>
      </c>
      <c r="AC303" s="17">
        <f t="shared" si="73"/>
        <v>0.36527977044476323</v>
      </c>
      <c r="AD303" s="23"/>
    </row>
    <row r="304" spans="1:34" s="14" customFormat="1" ht="28.8" x14ac:dyDescent="0.3">
      <c r="A304" s="19">
        <v>43951</v>
      </c>
      <c r="B304" s="14" t="s">
        <v>1071</v>
      </c>
      <c r="D304" s="14" t="s">
        <v>1072</v>
      </c>
      <c r="E304" s="14" t="s">
        <v>120</v>
      </c>
      <c r="F304" s="14" t="s">
        <v>90</v>
      </c>
      <c r="G304" s="14" t="s">
        <v>55</v>
      </c>
      <c r="H304" s="20">
        <v>32271</v>
      </c>
      <c r="I304" s="14" t="s">
        <v>39</v>
      </c>
      <c r="K304" s="21"/>
      <c r="L304" s="19">
        <v>43746</v>
      </c>
      <c r="M304" s="19">
        <v>47672</v>
      </c>
      <c r="N304" s="19"/>
      <c r="O304" s="14">
        <v>129</v>
      </c>
      <c r="P304" s="22">
        <v>11.5</v>
      </c>
      <c r="Q304" s="10">
        <v>9.84</v>
      </c>
      <c r="R304" s="10">
        <f t="shared" si="72"/>
        <v>21.34</v>
      </c>
      <c r="S304" s="15">
        <v>0.5</v>
      </c>
      <c r="T304" s="12">
        <v>50</v>
      </c>
      <c r="U304" s="10">
        <f t="shared" si="59"/>
        <v>4.6511627906976747</v>
      </c>
      <c r="V304" s="26">
        <v>9</v>
      </c>
      <c r="W304" s="14" t="s">
        <v>40</v>
      </c>
      <c r="X304" s="15">
        <f t="shared" si="67"/>
        <v>16.004999999999999</v>
      </c>
      <c r="Y304" s="16">
        <f t="shared" si="60"/>
        <v>0.83720930232558144</v>
      </c>
      <c r="Z304" s="15">
        <f t="shared" si="69"/>
        <v>1.4888372093023254</v>
      </c>
      <c r="AA304" s="12">
        <f>X304+T304</f>
        <v>66.004999999999995</v>
      </c>
      <c r="AB304" s="15">
        <f t="shared" si="68"/>
        <v>6.14</v>
      </c>
      <c r="AC304" s="17">
        <f t="shared" si="73"/>
        <v>0.53391304347826085</v>
      </c>
      <c r="AD304" s="23" t="s">
        <v>185</v>
      </c>
      <c r="AE304" s="14" t="s">
        <v>1073</v>
      </c>
      <c r="AF304" s="14" t="s">
        <v>1074</v>
      </c>
      <c r="AH304" s="14" t="s">
        <v>92</v>
      </c>
    </row>
    <row r="305" spans="1:34" s="14" customFormat="1" ht="28.8" x14ac:dyDescent="0.3">
      <c r="A305" s="19">
        <v>44574</v>
      </c>
      <c r="B305" s="14" t="s">
        <v>711</v>
      </c>
      <c r="C305" s="14" t="s">
        <v>712</v>
      </c>
      <c r="D305" s="14" t="s">
        <v>713</v>
      </c>
      <c r="E305" s="14" t="s">
        <v>714</v>
      </c>
      <c r="F305" s="14" t="s">
        <v>54</v>
      </c>
      <c r="G305" s="14" t="s">
        <v>55</v>
      </c>
      <c r="H305" s="20">
        <v>3275</v>
      </c>
      <c r="I305" s="14" t="s">
        <v>39</v>
      </c>
      <c r="K305" s="21"/>
      <c r="L305" s="19">
        <v>44682</v>
      </c>
      <c r="M305" s="19">
        <v>46965</v>
      </c>
      <c r="N305" s="19"/>
      <c r="O305" s="14">
        <v>75</v>
      </c>
      <c r="P305" s="22">
        <v>13.25</v>
      </c>
      <c r="Q305" s="10">
        <v>8.5500000000000007</v>
      </c>
      <c r="R305" s="10">
        <f t="shared" si="72"/>
        <v>21.8</v>
      </c>
      <c r="S305" s="15">
        <v>0.5</v>
      </c>
      <c r="T305" s="12">
        <v>32</v>
      </c>
      <c r="U305" s="10">
        <f t="shared" si="59"/>
        <v>5.12</v>
      </c>
      <c r="V305" s="26">
        <v>6</v>
      </c>
      <c r="W305" s="14" t="s">
        <v>40</v>
      </c>
      <c r="X305" s="15">
        <f t="shared" si="67"/>
        <v>10.9</v>
      </c>
      <c r="Y305" s="16">
        <f t="shared" si="60"/>
        <v>0.96</v>
      </c>
      <c r="Z305" s="15">
        <f t="shared" si="69"/>
        <v>1.744</v>
      </c>
      <c r="AA305" s="12">
        <f>X305+T305</f>
        <v>42.9</v>
      </c>
      <c r="AB305" s="15">
        <f t="shared" si="68"/>
        <v>6.8639999999999999</v>
      </c>
      <c r="AC305" s="17">
        <f t="shared" si="73"/>
        <v>0.51803773584905655</v>
      </c>
      <c r="AD305" s="23" t="s">
        <v>715</v>
      </c>
      <c r="AE305" s="8" t="s">
        <v>91</v>
      </c>
      <c r="AF305" s="14" t="s">
        <v>56</v>
      </c>
      <c r="AG305" s="14" t="s">
        <v>716</v>
      </c>
      <c r="AH305" s="14" t="s">
        <v>58</v>
      </c>
    </row>
    <row r="306" spans="1:34" s="14" customFormat="1" ht="28.8" x14ac:dyDescent="0.3">
      <c r="A306" s="19">
        <v>44935</v>
      </c>
      <c r="B306" s="14" t="s">
        <v>471</v>
      </c>
      <c r="C306" s="14" t="s">
        <v>472</v>
      </c>
      <c r="D306" s="14" t="s">
        <v>473</v>
      </c>
      <c r="E306" s="14" t="s">
        <v>79</v>
      </c>
      <c r="F306" s="14" t="s">
        <v>37</v>
      </c>
      <c r="G306" s="14" t="s">
        <v>38</v>
      </c>
      <c r="H306" s="20">
        <v>12187</v>
      </c>
      <c r="I306" s="14" t="s">
        <v>39</v>
      </c>
      <c r="K306" s="21"/>
      <c r="L306" s="19">
        <v>45536</v>
      </c>
      <c r="M306" s="19">
        <v>47542</v>
      </c>
      <c r="N306" s="19"/>
      <c r="O306" s="14">
        <v>66</v>
      </c>
      <c r="P306" s="22">
        <v>16.5</v>
      </c>
      <c r="Q306" s="10"/>
      <c r="R306" s="10">
        <f t="shared" si="72"/>
        <v>16.5</v>
      </c>
      <c r="S306" s="15">
        <v>0.5</v>
      </c>
      <c r="T306" s="12">
        <v>30</v>
      </c>
      <c r="U306" s="10">
        <f t="shared" si="59"/>
        <v>5.4545454545454541</v>
      </c>
      <c r="V306" s="26">
        <v>6</v>
      </c>
      <c r="W306" s="14" t="s">
        <v>40</v>
      </c>
      <c r="X306" s="15">
        <f t="shared" si="67"/>
        <v>8.25</v>
      </c>
      <c r="Y306" s="16">
        <f t="shared" si="60"/>
        <v>1.0909090909090908</v>
      </c>
      <c r="Z306" s="15">
        <f t="shared" si="69"/>
        <v>1.5</v>
      </c>
      <c r="AA306" s="12">
        <f>T306+X306</f>
        <v>38.25</v>
      </c>
      <c r="AB306" s="15">
        <f t="shared" si="68"/>
        <v>6.9545454545454541</v>
      </c>
      <c r="AC306" s="17">
        <f t="shared" si="73"/>
        <v>0.42148760330578511</v>
      </c>
      <c r="AD306" s="23" t="s">
        <v>474</v>
      </c>
      <c r="AE306" s="14" t="s">
        <v>136</v>
      </c>
      <c r="AF306" s="14" t="s">
        <v>475</v>
      </c>
      <c r="AH306" s="14" t="s">
        <v>476</v>
      </c>
    </row>
    <row r="307" spans="1:34" s="14" customFormat="1" ht="28.8" x14ac:dyDescent="0.3">
      <c r="A307" s="19">
        <v>45805</v>
      </c>
      <c r="B307" s="14" t="s">
        <v>121</v>
      </c>
      <c r="C307" s="14" t="s">
        <v>122</v>
      </c>
      <c r="D307" s="14" t="s">
        <v>123</v>
      </c>
      <c r="E307" s="14" t="s">
        <v>124</v>
      </c>
      <c r="F307" s="14" t="s">
        <v>54</v>
      </c>
      <c r="G307" s="14" t="s">
        <v>55</v>
      </c>
      <c r="H307" s="25">
        <v>11097</v>
      </c>
      <c r="I307" s="14" t="s">
        <v>39</v>
      </c>
      <c r="K307" s="57"/>
      <c r="L307" s="19">
        <v>45413</v>
      </c>
      <c r="M307" s="19">
        <v>49429</v>
      </c>
      <c r="N307" s="19"/>
      <c r="O307" s="14">
        <v>132</v>
      </c>
      <c r="P307" s="12">
        <v>21</v>
      </c>
      <c r="Q307" s="15">
        <v>12.3</v>
      </c>
      <c r="R307" s="10">
        <f t="shared" si="72"/>
        <v>33.299999999999997</v>
      </c>
      <c r="S307" s="11">
        <v>2.5000000000000001E-2</v>
      </c>
      <c r="T307" s="12">
        <v>80</v>
      </c>
      <c r="U307" s="10">
        <f t="shared" si="59"/>
        <v>7.2727272727272725</v>
      </c>
      <c r="V307" s="13">
        <v>16</v>
      </c>
      <c r="W307" s="52" t="s">
        <v>40</v>
      </c>
      <c r="X307" s="15">
        <f t="shared" si="67"/>
        <v>44.399999999999991</v>
      </c>
      <c r="Y307" s="16">
        <f t="shared" si="60"/>
        <v>1.4545454545454546</v>
      </c>
      <c r="Z307" s="15">
        <f t="shared" si="69"/>
        <v>4.0363636363636353</v>
      </c>
      <c r="AA307" s="12">
        <f>X307+T307</f>
        <v>124.39999999999999</v>
      </c>
      <c r="AB307" s="15">
        <f t="shared" si="68"/>
        <v>11.309090909090909</v>
      </c>
      <c r="AC307" s="17">
        <f t="shared" si="73"/>
        <v>0.53852813852813852</v>
      </c>
      <c r="AD307" s="23"/>
      <c r="AH307" s="14" t="s">
        <v>93</v>
      </c>
    </row>
    <row r="308" spans="1:34" ht="28.8" x14ac:dyDescent="0.3">
      <c r="A308" s="19">
        <v>43951</v>
      </c>
      <c r="B308" s="14" t="s">
        <v>1005</v>
      </c>
      <c r="C308" s="14" t="s">
        <v>527</v>
      </c>
      <c r="D308" s="14" t="s">
        <v>356</v>
      </c>
      <c r="E308" s="14" t="s">
        <v>357</v>
      </c>
      <c r="F308" s="14" t="s">
        <v>37</v>
      </c>
      <c r="G308" s="14" t="s">
        <v>38</v>
      </c>
      <c r="H308" s="20">
        <v>15893</v>
      </c>
      <c r="I308" s="14" t="s">
        <v>291</v>
      </c>
      <c r="J308" s="14"/>
      <c r="K308" s="21"/>
      <c r="L308" s="19">
        <v>43466</v>
      </c>
      <c r="M308" s="19">
        <v>46752</v>
      </c>
      <c r="N308" s="19"/>
      <c r="O308" s="14">
        <v>108</v>
      </c>
      <c r="P308" s="22">
        <v>13</v>
      </c>
      <c r="Q308" s="10">
        <v>8.77</v>
      </c>
      <c r="R308" s="10">
        <f t="shared" si="72"/>
        <v>21.77</v>
      </c>
      <c r="S308" s="15">
        <v>0.5</v>
      </c>
      <c r="T308" s="12">
        <v>55</v>
      </c>
      <c r="U308" s="10">
        <f t="shared" si="59"/>
        <v>6.1111111111111107</v>
      </c>
      <c r="V308" s="26">
        <v>10</v>
      </c>
      <c r="W308" s="14"/>
      <c r="X308" s="15">
        <f t="shared" si="67"/>
        <v>18.141666666666666</v>
      </c>
      <c r="Y308" s="16">
        <f t="shared" si="60"/>
        <v>1.1111111111111112</v>
      </c>
      <c r="Z308" s="15">
        <f t="shared" si="69"/>
        <v>2.0157407407407408</v>
      </c>
      <c r="AA308" s="12">
        <f>X308+T308</f>
        <v>73.141666666666666</v>
      </c>
      <c r="AB308" s="15">
        <f t="shared" si="68"/>
        <v>8.1268518518518515</v>
      </c>
      <c r="AC308" s="17">
        <f t="shared" si="73"/>
        <v>0.62514245014245007</v>
      </c>
      <c r="AD308" s="23" t="s">
        <v>1006</v>
      </c>
      <c r="AE308" s="14"/>
      <c r="AF308" s="14"/>
      <c r="AG308" s="14"/>
      <c r="AH308" s="14" t="s">
        <v>1007</v>
      </c>
    </row>
    <row r="309" spans="1:34" ht="28.8" x14ac:dyDescent="0.3">
      <c r="A309" s="7">
        <v>45890</v>
      </c>
      <c r="B309" s="8" t="s">
        <v>33</v>
      </c>
      <c r="C309" s="8" t="s">
        <v>34</v>
      </c>
      <c r="D309" s="8" t="s">
        <v>35</v>
      </c>
      <c r="E309" s="8" t="s">
        <v>36</v>
      </c>
      <c r="F309" s="8" t="s">
        <v>37</v>
      </c>
      <c r="G309" s="8" t="s">
        <v>38</v>
      </c>
      <c r="H309" s="9">
        <v>11719</v>
      </c>
      <c r="I309" s="8" t="s">
        <v>39</v>
      </c>
      <c r="L309" s="7">
        <v>45839</v>
      </c>
      <c r="M309" s="7">
        <v>48669</v>
      </c>
      <c r="O309" s="8">
        <v>93</v>
      </c>
      <c r="P309" s="54">
        <v>18.25</v>
      </c>
      <c r="Q309" s="55">
        <v>12.07</v>
      </c>
      <c r="R309" s="10">
        <f t="shared" si="72"/>
        <v>30.32</v>
      </c>
      <c r="S309" s="11">
        <v>0.03</v>
      </c>
      <c r="T309" s="12">
        <v>12</v>
      </c>
      <c r="U309" s="10">
        <f t="shared" si="59"/>
        <v>1.5483870967741935</v>
      </c>
      <c r="V309" s="13">
        <v>9</v>
      </c>
      <c r="W309" s="14" t="s">
        <v>40</v>
      </c>
      <c r="X309" s="15">
        <f t="shared" si="67"/>
        <v>22.740000000000002</v>
      </c>
      <c r="Y309" s="16">
        <f t="shared" si="60"/>
        <v>1.1612903225806452</v>
      </c>
      <c r="Z309" s="15">
        <f t="shared" si="69"/>
        <v>2.9341935483870971</v>
      </c>
      <c r="AA309" s="12">
        <f>T309+X309</f>
        <v>34.74</v>
      </c>
      <c r="AB309" s="15">
        <f t="shared" si="68"/>
        <v>4.4825806451612902</v>
      </c>
      <c r="AC309" s="17">
        <f t="shared" si="73"/>
        <v>0.24562085726911179</v>
      </c>
      <c r="AD309" s="18" t="s">
        <v>41</v>
      </c>
      <c r="AE309" s="8" t="s">
        <v>42</v>
      </c>
      <c r="AF309" s="8" t="s">
        <v>43</v>
      </c>
      <c r="AG309" s="8" t="s">
        <v>44</v>
      </c>
      <c r="AH309" s="14" t="s">
        <v>45</v>
      </c>
    </row>
    <row r="310" spans="1:34" x14ac:dyDescent="0.3">
      <c r="A310" s="19">
        <v>45281</v>
      </c>
      <c r="B310" s="14" t="s">
        <v>280</v>
      </c>
      <c r="C310" s="14" t="s">
        <v>207</v>
      </c>
      <c r="D310" s="14" t="s">
        <v>208</v>
      </c>
      <c r="E310" s="14" t="s">
        <v>62</v>
      </c>
      <c r="F310" s="14" t="s">
        <v>63</v>
      </c>
      <c r="G310" s="14" t="s">
        <v>64</v>
      </c>
      <c r="H310" s="27">
        <v>13590</v>
      </c>
      <c r="I310" s="19" t="s">
        <v>281</v>
      </c>
      <c r="J310" s="19"/>
      <c r="K310" s="21"/>
      <c r="L310" s="19">
        <v>46174</v>
      </c>
      <c r="M310" s="19">
        <v>48182</v>
      </c>
      <c r="N310" s="19"/>
      <c r="O310" s="14">
        <v>66</v>
      </c>
      <c r="P310" s="12">
        <v>21.5</v>
      </c>
      <c r="Q310" s="15">
        <v>18.43</v>
      </c>
      <c r="R310" s="10">
        <f t="shared" si="72"/>
        <v>39.93</v>
      </c>
      <c r="S310" s="15">
        <v>0.5</v>
      </c>
      <c r="T310" s="12">
        <v>3.9</v>
      </c>
      <c r="U310" s="10">
        <f t="shared" si="59"/>
        <v>0.70909090909090911</v>
      </c>
      <c r="V310" s="26">
        <v>5</v>
      </c>
      <c r="W310" s="52" t="s">
        <v>40</v>
      </c>
      <c r="X310" s="15">
        <f t="shared" si="67"/>
        <v>16.637499999999999</v>
      </c>
      <c r="Y310" s="16">
        <f t="shared" si="60"/>
        <v>0.90909090909090906</v>
      </c>
      <c r="Z310" s="15">
        <f t="shared" si="69"/>
        <v>3.0249999999999999</v>
      </c>
      <c r="AA310" s="12">
        <f>X310+T310</f>
        <v>20.537499999999998</v>
      </c>
      <c r="AB310" s="15">
        <f t="shared" si="68"/>
        <v>3.7340909090909089</v>
      </c>
      <c r="AC310" s="17">
        <f t="shared" si="73"/>
        <v>0.17367864693446089</v>
      </c>
      <c r="AD310" s="23" t="s">
        <v>209</v>
      </c>
      <c r="AE310" s="14"/>
      <c r="AF310" s="14"/>
      <c r="AG310" s="14"/>
      <c r="AH310" s="14"/>
    </row>
    <row r="311" spans="1:34" ht="28.8" x14ac:dyDescent="0.3">
      <c r="A311" s="19">
        <v>45777</v>
      </c>
      <c r="B311" s="14" t="s">
        <v>152</v>
      </c>
      <c r="C311" s="14" t="s">
        <v>153</v>
      </c>
      <c r="D311" s="14" t="s">
        <v>154</v>
      </c>
      <c r="E311" s="14" t="s">
        <v>36</v>
      </c>
      <c r="F311" s="14" t="s">
        <v>37</v>
      </c>
      <c r="G311" s="14" t="s">
        <v>38</v>
      </c>
      <c r="H311" s="25">
        <v>3182</v>
      </c>
      <c r="I311" s="14" t="s">
        <v>74</v>
      </c>
      <c r="J311" s="14"/>
      <c r="K311" s="57">
        <v>45748</v>
      </c>
      <c r="L311" s="19">
        <v>46023</v>
      </c>
      <c r="M311" s="19">
        <v>48091</v>
      </c>
      <c r="N311" s="19"/>
      <c r="O311" s="14">
        <v>68</v>
      </c>
      <c r="P311" s="12">
        <v>21.5</v>
      </c>
      <c r="Q311" s="15">
        <v>12.07</v>
      </c>
      <c r="R311" s="15">
        <f t="shared" si="72"/>
        <v>33.57</v>
      </c>
      <c r="S311" s="15">
        <v>0.5</v>
      </c>
      <c r="T311" s="12">
        <v>0</v>
      </c>
      <c r="U311" s="10">
        <f t="shared" si="59"/>
        <v>0</v>
      </c>
      <c r="V311" s="13">
        <v>8</v>
      </c>
      <c r="W311" s="52" t="s">
        <v>40</v>
      </c>
      <c r="X311" s="15">
        <f t="shared" si="67"/>
        <v>22.38</v>
      </c>
      <c r="Y311" s="16">
        <f t="shared" si="60"/>
        <v>1.4117647058823528</v>
      </c>
      <c r="Z311" s="15">
        <f t="shared" si="69"/>
        <v>3.9494117647058822</v>
      </c>
      <c r="AA311" s="12">
        <f>T311+X311</f>
        <v>22.38</v>
      </c>
      <c r="AB311" s="15">
        <f t="shared" si="68"/>
        <v>3.9494117647058822</v>
      </c>
      <c r="AC311" s="17">
        <f t="shared" si="73"/>
        <v>0.18369357045143639</v>
      </c>
      <c r="AD311" s="23"/>
      <c r="AE311" s="14" t="s">
        <v>42</v>
      </c>
      <c r="AF311" s="14" t="s">
        <v>56</v>
      </c>
      <c r="AG311" s="14"/>
      <c r="AH311" s="14" t="s">
        <v>58</v>
      </c>
    </row>
    <row r="312" spans="1:34" ht="28.8" x14ac:dyDescent="0.3">
      <c r="A312" s="19">
        <v>44901</v>
      </c>
      <c r="B312" s="14" t="s">
        <v>522</v>
      </c>
      <c r="C312" s="14" t="s">
        <v>523</v>
      </c>
      <c r="D312" s="14" t="s">
        <v>524</v>
      </c>
      <c r="E312" s="14" t="s">
        <v>239</v>
      </c>
      <c r="F312" s="14" t="s">
        <v>37</v>
      </c>
      <c r="G312" s="14" t="s">
        <v>38</v>
      </c>
      <c r="H312" s="20">
        <v>50508</v>
      </c>
      <c r="I312" s="14" t="s">
        <v>74</v>
      </c>
      <c r="J312" s="14"/>
      <c r="K312" s="21"/>
      <c r="L312" s="19">
        <v>44835</v>
      </c>
      <c r="M312" s="19">
        <v>46904</v>
      </c>
      <c r="N312" s="19"/>
      <c r="O312" s="14">
        <v>68</v>
      </c>
      <c r="P312" s="22">
        <v>12</v>
      </c>
      <c r="Q312" s="10">
        <v>10.14</v>
      </c>
      <c r="R312" s="10">
        <f t="shared" si="72"/>
        <v>22.14</v>
      </c>
      <c r="S312" s="15">
        <v>0.5</v>
      </c>
      <c r="T312" s="12">
        <v>20</v>
      </c>
      <c r="U312" s="10">
        <f t="shared" si="59"/>
        <v>3.5294117647058822</v>
      </c>
      <c r="V312" s="26">
        <v>8</v>
      </c>
      <c r="W312" s="14" t="s">
        <v>40</v>
      </c>
      <c r="X312" s="15">
        <f t="shared" si="67"/>
        <v>14.76</v>
      </c>
      <c r="Y312" s="16">
        <f t="shared" si="60"/>
        <v>1.4117647058823528</v>
      </c>
      <c r="Z312" s="15">
        <f t="shared" si="69"/>
        <v>2.604705882352941</v>
      </c>
      <c r="AA312" s="12">
        <f>X312+T312</f>
        <v>34.76</v>
      </c>
      <c r="AB312" s="15">
        <f t="shared" si="68"/>
        <v>6.1341176470588232</v>
      </c>
      <c r="AC312" s="17">
        <f t="shared" si="73"/>
        <v>0.51117647058823523</v>
      </c>
      <c r="AD312" s="23" t="s">
        <v>244</v>
      </c>
      <c r="AE312" s="8" t="s">
        <v>91</v>
      </c>
      <c r="AF312" s="14" t="s">
        <v>116</v>
      </c>
      <c r="AG312" s="14" t="s">
        <v>525</v>
      </c>
      <c r="AH312" s="14"/>
    </row>
    <row r="313" spans="1:34" ht="28.8" x14ac:dyDescent="0.3">
      <c r="A313" s="19">
        <v>43951</v>
      </c>
      <c r="B313" s="14" t="s">
        <v>1054</v>
      </c>
      <c r="C313" s="14" t="s">
        <v>199</v>
      </c>
      <c r="D313" s="14" t="s">
        <v>200</v>
      </c>
      <c r="E313" s="14" t="s">
        <v>97</v>
      </c>
      <c r="F313" s="14" t="s">
        <v>97</v>
      </c>
      <c r="G313" s="14" t="s">
        <v>64</v>
      </c>
      <c r="H313" s="20">
        <v>3741</v>
      </c>
      <c r="I313" s="14" t="s">
        <v>74</v>
      </c>
      <c r="J313" s="14"/>
      <c r="K313" s="21"/>
      <c r="L313" s="19">
        <v>43891</v>
      </c>
      <c r="M313" s="19">
        <v>47542</v>
      </c>
      <c r="N313" s="19"/>
      <c r="O313" s="14">
        <v>120</v>
      </c>
      <c r="P313" s="22">
        <v>26.63</v>
      </c>
      <c r="Q313" s="10">
        <v>19.37</v>
      </c>
      <c r="R313" s="10">
        <f t="shared" si="72"/>
        <v>46</v>
      </c>
      <c r="S313" s="11">
        <v>0.02</v>
      </c>
      <c r="T313" s="12">
        <v>60</v>
      </c>
      <c r="U313" s="10">
        <f t="shared" si="59"/>
        <v>6</v>
      </c>
      <c r="V313" s="13">
        <v>0</v>
      </c>
      <c r="W313" s="14"/>
      <c r="X313" s="15">
        <f t="shared" si="67"/>
        <v>0</v>
      </c>
      <c r="Y313" s="16">
        <f t="shared" si="60"/>
        <v>0</v>
      </c>
      <c r="Z313" s="15">
        <f t="shared" si="69"/>
        <v>0</v>
      </c>
      <c r="AA313" s="12">
        <f>X313+T313</f>
        <v>60</v>
      </c>
      <c r="AB313" s="15">
        <f t="shared" si="68"/>
        <v>6</v>
      </c>
      <c r="AC313" s="17">
        <f t="shared" si="73"/>
        <v>0.22530980097634248</v>
      </c>
      <c r="AD313" s="23" t="s">
        <v>1055</v>
      </c>
      <c r="AE313" s="14"/>
      <c r="AF313" s="14"/>
      <c r="AG313" s="14" t="s">
        <v>187</v>
      </c>
      <c r="AH313" s="14" t="s">
        <v>614</v>
      </c>
    </row>
    <row r="314" spans="1:34" ht="144" x14ac:dyDescent="0.3">
      <c r="A314" s="19">
        <v>44582</v>
      </c>
      <c r="B314" s="14" t="s">
        <v>705</v>
      </c>
      <c r="C314" s="14" t="s">
        <v>101</v>
      </c>
      <c r="D314" s="14" t="s">
        <v>102</v>
      </c>
      <c r="E314" s="14" t="s">
        <v>103</v>
      </c>
      <c r="F314" s="14" t="s">
        <v>37</v>
      </c>
      <c r="G314" s="14" t="s">
        <v>552</v>
      </c>
      <c r="H314" s="20">
        <v>44616</v>
      </c>
      <c r="I314" s="14" t="s">
        <v>39</v>
      </c>
      <c r="J314" s="14"/>
      <c r="K314" s="21"/>
      <c r="L314" s="19">
        <v>44743</v>
      </c>
      <c r="M314" s="19">
        <v>48760</v>
      </c>
      <c r="N314" s="19"/>
      <c r="O314" s="14">
        <v>132</v>
      </c>
      <c r="P314" s="22">
        <v>21</v>
      </c>
      <c r="Q314" s="10">
        <v>13.65</v>
      </c>
      <c r="R314" s="10">
        <f t="shared" si="72"/>
        <v>34.65</v>
      </c>
      <c r="S314" s="15">
        <v>0.5</v>
      </c>
      <c r="T314" s="12">
        <v>107</v>
      </c>
      <c r="U314" s="10">
        <f t="shared" si="59"/>
        <v>9.7272727272727266</v>
      </c>
      <c r="V314" s="13">
        <v>0</v>
      </c>
      <c r="W314" s="14"/>
      <c r="X314" s="15">
        <f t="shared" si="67"/>
        <v>0</v>
      </c>
      <c r="Y314" s="16">
        <f t="shared" si="60"/>
        <v>0</v>
      </c>
      <c r="Z314" s="15">
        <f t="shared" si="69"/>
        <v>0</v>
      </c>
      <c r="AA314" s="12">
        <f>X314+T314</f>
        <v>107</v>
      </c>
      <c r="AB314" s="15">
        <f t="shared" si="68"/>
        <v>9.7272727272727266</v>
      </c>
      <c r="AC314" s="17">
        <f t="shared" si="73"/>
        <v>0.46320346320346317</v>
      </c>
      <c r="AD314" s="23" t="s">
        <v>699</v>
      </c>
      <c r="AE314" s="14" t="s">
        <v>42</v>
      </c>
      <c r="AF314" s="14" t="s">
        <v>158</v>
      </c>
      <c r="AG314" s="14" t="s">
        <v>706</v>
      </c>
      <c r="AH314" s="14" t="s">
        <v>230</v>
      </c>
    </row>
    <row r="315" spans="1:34" ht="28.8" x14ac:dyDescent="0.3">
      <c r="A315" s="19">
        <v>45519</v>
      </c>
      <c r="B315" s="14" t="s">
        <v>191</v>
      </c>
      <c r="C315" s="14" t="s">
        <v>192</v>
      </c>
      <c r="D315" s="14" t="s">
        <v>193</v>
      </c>
      <c r="E315" s="14" t="s">
        <v>194</v>
      </c>
      <c r="F315" s="14" t="s">
        <v>63</v>
      </c>
      <c r="G315" s="14" t="s">
        <v>64</v>
      </c>
      <c r="H315" s="20">
        <v>13997</v>
      </c>
      <c r="I315" s="14" t="s">
        <v>39</v>
      </c>
      <c r="J315" s="14"/>
      <c r="K315" s="57">
        <v>45505</v>
      </c>
      <c r="L315" s="19">
        <v>45658</v>
      </c>
      <c r="M315" s="19">
        <v>50099</v>
      </c>
      <c r="N315" s="19"/>
      <c r="O315" s="14">
        <v>134</v>
      </c>
      <c r="P315" s="23"/>
      <c r="Q315" s="14"/>
      <c r="R315" s="15">
        <v>28</v>
      </c>
      <c r="S315" s="14"/>
      <c r="T315" s="58">
        <v>75</v>
      </c>
      <c r="U315" s="10">
        <f t="shared" si="59"/>
        <v>6.7164179104477615</v>
      </c>
      <c r="V315" s="26">
        <v>15</v>
      </c>
      <c r="W315" s="14" t="s">
        <v>40</v>
      </c>
      <c r="X315" s="15">
        <f t="shared" si="67"/>
        <v>35</v>
      </c>
      <c r="Y315" s="16">
        <f t="shared" si="60"/>
        <v>1.3432835820895523</v>
      </c>
      <c r="Z315" s="15">
        <f t="shared" si="69"/>
        <v>3.1343283582089554</v>
      </c>
      <c r="AA315" s="12">
        <f>X315+T315</f>
        <v>110</v>
      </c>
      <c r="AB315" s="15">
        <f t="shared" si="68"/>
        <v>9.8507462686567173</v>
      </c>
      <c r="AC315" s="17"/>
      <c r="AD315" s="23"/>
      <c r="AE315" s="14" t="s">
        <v>98</v>
      </c>
      <c r="AF315" s="14" t="s">
        <v>195</v>
      </c>
      <c r="AG315" s="14" t="s">
        <v>196</v>
      </c>
      <c r="AH315" s="14" t="s">
        <v>197</v>
      </c>
    </row>
    <row r="316" spans="1:34" x14ac:dyDescent="0.3">
      <c r="O316" s="8">
        <v>60</v>
      </c>
      <c r="P316" s="54">
        <v>18</v>
      </c>
      <c r="Q316" s="55">
        <v>15.73</v>
      </c>
      <c r="R316" s="10">
        <f>P316+Q316</f>
        <v>33.730000000000004</v>
      </c>
      <c r="S316" s="15">
        <v>0.5</v>
      </c>
      <c r="T316" s="12">
        <v>25</v>
      </c>
      <c r="U316" s="10">
        <f t="shared" si="59"/>
        <v>5</v>
      </c>
      <c r="V316" s="13">
        <v>5</v>
      </c>
      <c r="W316" s="52" t="s">
        <v>40</v>
      </c>
      <c r="X316" s="15">
        <f t="shared" si="67"/>
        <v>14.054166666666669</v>
      </c>
      <c r="Y316" s="16">
        <f t="shared" si="60"/>
        <v>1</v>
      </c>
      <c r="Z316" s="15">
        <f t="shared" si="69"/>
        <v>2.810833333333334</v>
      </c>
      <c r="AA316" s="12">
        <f>X316+T316</f>
        <v>39.054166666666667</v>
      </c>
      <c r="AB316" s="15">
        <f t="shared" si="68"/>
        <v>7.8108333333333331</v>
      </c>
      <c r="AC316" s="17">
        <f>AB316/P316</f>
        <v>0.43393518518518515</v>
      </c>
    </row>
    <row r="317" spans="1:34" x14ac:dyDescent="0.3">
      <c r="U317" s="46"/>
    </row>
    <row r="318" spans="1:34" x14ac:dyDescent="0.3">
      <c r="U318" s="46"/>
    </row>
    <row r="319" spans="1:34" x14ac:dyDescent="0.3">
      <c r="U319" s="46"/>
    </row>
    <row r="320" spans="1:34" x14ac:dyDescent="0.3">
      <c r="U320" s="46"/>
    </row>
    <row r="321" spans="21:21" x14ac:dyDescent="0.3">
      <c r="U321" s="46"/>
    </row>
    <row r="322" spans="21:21" x14ac:dyDescent="0.3">
      <c r="U322" s="46"/>
    </row>
    <row r="323" spans="21:21" x14ac:dyDescent="0.3">
      <c r="U323" s="46"/>
    </row>
    <row r="324" spans="21:21" x14ac:dyDescent="0.3">
      <c r="U324" s="46"/>
    </row>
    <row r="325" spans="21:21" x14ac:dyDescent="0.3">
      <c r="U325" s="46"/>
    </row>
    <row r="326" spans="21:21" x14ac:dyDescent="0.3">
      <c r="U326" s="46"/>
    </row>
    <row r="327" spans="21:21" x14ac:dyDescent="0.3">
      <c r="U327" s="46"/>
    </row>
    <row r="328" spans="21:21" x14ac:dyDescent="0.3">
      <c r="U328" s="46"/>
    </row>
    <row r="329" spans="21:21" x14ac:dyDescent="0.3">
      <c r="U329" s="46"/>
    </row>
    <row r="330" spans="21:21" x14ac:dyDescent="0.3">
      <c r="U330" s="46"/>
    </row>
    <row r="331" spans="21:21" x14ac:dyDescent="0.3">
      <c r="U331" s="46"/>
    </row>
    <row r="332" spans="21:21" x14ac:dyDescent="0.3">
      <c r="U332" s="46"/>
    </row>
    <row r="333" spans="21:21" x14ac:dyDescent="0.3">
      <c r="U333" s="46"/>
    </row>
    <row r="334" spans="21:21" x14ac:dyDescent="0.3">
      <c r="U334" s="46"/>
    </row>
    <row r="335" spans="21:21" x14ac:dyDescent="0.3">
      <c r="U335" s="46"/>
    </row>
    <row r="336" spans="21:21" x14ac:dyDescent="0.3">
      <c r="U336" s="46"/>
    </row>
    <row r="337" spans="21:21" x14ac:dyDescent="0.3">
      <c r="U337" s="46"/>
    </row>
    <row r="338" spans="21:21" x14ac:dyDescent="0.3">
      <c r="U338" s="46"/>
    </row>
    <row r="339" spans="21:21" x14ac:dyDescent="0.3">
      <c r="U339" s="46"/>
    </row>
    <row r="340" spans="21:21" x14ac:dyDescent="0.3">
      <c r="U340" s="46"/>
    </row>
    <row r="341" spans="21:21" x14ac:dyDescent="0.3">
      <c r="U341" s="46"/>
    </row>
    <row r="342" spans="21:21" x14ac:dyDescent="0.3">
      <c r="U342" s="46"/>
    </row>
    <row r="343" spans="21:21" x14ac:dyDescent="0.3">
      <c r="U343" s="46"/>
    </row>
    <row r="344" spans="21:21" x14ac:dyDescent="0.3">
      <c r="U344" s="46"/>
    </row>
    <row r="345" spans="21:21" x14ac:dyDescent="0.3">
      <c r="U345" s="46"/>
    </row>
    <row r="346" spans="21:21" x14ac:dyDescent="0.3">
      <c r="U346" s="46"/>
    </row>
    <row r="347" spans="21:21" x14ac:dyDescent="0.3">
      <c r="U347" s="46"/>
    </row>
    <row r="348" spans="21:21" x14ac:dyDescent="0.3">
      <c r="U348" s="46"/>
    </row>
    <row r="349" spans="21:21" x14ac:dyDescent="0.3">
      <c r="U349" s="46"/>
    </row>
    <row r="350" spans="21:21" x14ac:dyDescent="0.3">
      <c r="U350" s="46"/>
    </row>
    <row r="351" spans="21:21" x14ac:dyDescent="0.3">
      <c r="U351" s="46"/>
    </row>
    <row r="352" spans="21:21" x14ac:dyDescent="0.3">
      <c r="U352" s="46"/>
    </row>
    <row r="353" spans="21:21" x14ac:dyDescent="0.3">
      <c r="U353" s="46"/>
    </row>
    <row r="354" spans="21:21" x14ac:dyDescent="0.3">
      <c r="U354" s="46"/>
    </row>
    <row r="355" spans="21:21" x14ac:dyDescent="0.3">
      <c r="U355" s="46"/>
    </row>
    <row r="356" spans="21:21" x14ac:dyDescent="0.3">
      <c r="U356" s="46"/>
    </row>
    <row r="357" spans="21:21" x14ac:dyDescent="0.3">
      <c r="U357" s="46"/>
    </row>
    <row r="358" spans="21:21" x14ac:dyDescent="0.3">
      <c r="U358" s="46"/>
    </row>
    <row r="359" spans="21:21" x14ac:dyDescent="0.3">
      <c r="U359" s="46"/>
    </row>
    <row r="360" spans="21:21" x14ac:dyDescent="0.3">
      <c r="U360" s="46"/>
    </row>
    <row r="361" spans="21:21" x14ac:dyDescent="0.3">
      <c r="U361" s="46"/>
    </row>
    <row r="362" spans="21:21" x14ac:dyDescent="0.3">
      <c r="U362" s="46"/>
    </row>
    <row r="363" spans="21:21" x14ac:dyDescent="0.3">
      <c r="U363" s="46"/>
    </row>
    <row r="364" spans="21:21" x14ac:dyDescent="0.3">
      <c r="U364" s="46"/>
    </row>
    <row r="365" spans="21:21" x14ac:dyDescent="0.3">
      <c r="U365" s="46"/>
    </row>
    <row r="366" spans="21:21" x14ac:dyDescent="0.3">
      <c r="U366" s="46"/>
    </row>
    <row r="367" spans="21:21" x14ac:dyDescent="0.3">
      <c r="U367" s="46"/>
    </row>
    <row r="368" spans="21:21" x14ac:dyDescent="0.3">
      <c r="U368" s="46"/>
    </row>
    <row r="369" spans="21:21" x14ac:dyDescent="0.3">
      <c r="U369" s="46"/>
    </row>
    <row r="370" spans="21:21" x14ac:dyDescent="0.3">
      <c r="U370" s="46"/>
    </row>
    <row r="371" spans="21:21" x14ac:dyDescent="0.3">
      <c r="U371" s="46"/>
    </row>
    <row r="372" spans="21:21" x14ac:dyDescent="0.3">
      <c r="U372" s="46"/>
    </row>
    <row r="373" spans="21:21" x14ac:dyDescent="0.3">
      <c r="U373" s="46"/>
    </row>
    <row r="374" spans="21:21" x14ac:dyDescent="0.3">
      <c r="U374" s="46"/>
    </row>
    <row r="375" spans="21:21" x14ac:dyDescent="0.3">
      <c r="U375" s="46"/>
    </row>
    <row r="376" spans="21:21" x14ac:dyDescent="0.3">
      <c r="U376" s="46"/>
    </row>
    <row r="377" spans="21:21" x14ac:dyDescent="0.3">
      <c r="U377" s="46"/>
    </row>
    <row r="378" spans="21:21" x14ac:dyDescent="0.3">
      <c r="U378" s="46"/>
    </row>
    <row r="379" spans="21:21" x14ac:dyDescent="0.3">
      <c r="U379" s="46"/>
    </row>
    <row r="380" spans="21:21" x14ac:dyDescent="0.3">
      <c r="U380" s="46"/>
    </row>
    <row r="381" spans="21:21" x14ac:dyDescent="0.3">
      <c r="U381" s="46"/>
    </row>
    <row r="382" spans="21:21" x14ac:dyDescent="0.3">
      <c r="U382" s="46"/>
    </row>
    <row r="383" spans="21:21" x14ac:dyDescent="0.3">
      <c r="U383" s="46"/>
    </row>
    <row r="384" spans="21:21" x14ac:dyDescent="0.3">
      <c r="U384" s="46"/>
    </row>
    <row r="385" spans="21:21" x14ac:dyDescent="0.3">
      <c r="U385" s="46"/>
    </row>
    <row r="386" spans="21:21" x14ac:dyDescent="0.3">
      <c r="U386" s="46"/>
    </row>
    <row r="387" spans="21:21" x14ac:dyDescent="0.3">
      <c r="U387" s="46"/>
    </row>
    <row r="388" spans="21:21" x14ac:dyDescent="0.3">
      <c r="U388" s="46"/>
    </row>
    <row r="389" spans="21:21" x14ac:dyDescent="0.3">
      <c r="U389" s="46"/>
    </row>
    <row r="390" spans="21:21" x14ac:dyDescent="0.3">
      <c r="U390" s="46"/>
    </row>
    <row r="391" spans="21:21" x14ac:dyDescent="0.3">
      <c r="U391" s="46"/>
    </row>
    <row r="392" spans="21:21" x14ac:dyDescent="0.3">
      <c r="U392" s="46"/>
    </row>
    <row r="393" spans="21:21" x14ac:dyDescent="0.3">
      <c r="U393" s="46"/>
    </row>
    <row r="394" spans="21:21" x14ac:dyDescent="0.3">
      <c r="U394" s="46"/>
    </row>
    <row r="395" spans="21:21" x14ac:dyDescent="0.3">
      <c r="U395" s="46"/>
    </row>
    <row r="396" spans="21:21" x14ac:dyDescent="0.3">
      <c r="U396" s="46"/>
    </row>
    <row r="397" spans="21:21" x14ac:dyDescent="0.3">
      <c r="U397" s="46"/>
    </row>
    <row r="398" spans="21:21" x14ac:dyDescent="0.3">
      <c r="U398" s="46"/>
    </row>
    <row r="399" spans="21:21" x14ac:dyDescent="0.3">
      <c r="U399" s="46"/>
    </row>
    <row r="400" spans="21:21" x14ac:dyDescent="0.3">
      <c r="U400" s="46"/>
    </row>
    <row r="401" spans="21:21" x14ac:dyDescent="0.3">
      <c r="U401" s="46"/>
    </row>
    <row r="402" spans="21:21" x14ac:dyDescent="0.3">
      <c r="U402" s="46"/>
    </row>
    <row r="403" spans="21:21" x14ac:dyDescent="0.3">
      <c r="U403" s="46"/>
    </row>
    <row r="404" spans="21:21" x14ac:dyDescent="0.3">
      <c r="U404" s="46"/>
    </row>
    <row r="405" spans="21:21" x14ac:dyDescent="0.3">
      <c r="U405" s="46"/>
    </row>
    <row r="406" spans="21:21" x14ac:dyDescent="0.3">
      <c r="U406" s="46"/>
    </row>
    <row r="407" spans="21:21" x14ac:dyDescent="0.3">
      <c r="U407" s="46"/>
    </row>
    <row r="408" spans="21:21" x14ac:dyDescent="0.3">
      <c r="U408" s="46"/>
    </row>
    <row r="409" spans="21:21" x14ac:dyDescent="0.3">
      <c r="U409" s="46"/>
    </row>
    <row r="410" spans="21:21" x14ac:dyDescent="0.3">
      <c r="U410" s="46"/>
    </row>
    <row r="411" spans="21:21" x14ac:dyDescent="0.3">
      <c r="U411" s="46"/>
    </row>
    <row r="412" spans="21:21" x14ac:dyDescent="0.3">
      <c r="U412" s="46"/>
    </row>
    <row r="413" spans="21:21" x14ac:dyDescent="0.3">
      <c r="U413" s="46"/>
    </row>
    <row r="414" spans="21:21" x14ac:dyDescent="0.3">
      <c r="U414" s="46"/>
    </row>
    <row r="415" spans="21:21" x14ac:dyDescent="0.3">
      <c r="U415" s="46"/>
    </row>
    <row r="416" spans="21:21" x14ac:dyDescent="0.3">
      <c r="U416" s="46"/>
    </row>
    <row r="417" spans="21:21" x14ac:dyDescent="0.3">
      <c r="U417" s="46"/>
    </row>
    <row r="418" spans="21:21" x14ac:dyDescent="0.3">
      <c r="U418" s="46"/>
    </row>
    <row r="419" spans="21:21" x14ac:dyDescent="0.3">
      <c r="U419" s="46"/>
    </row>
    <row r="420" spans="21:21" x14ac:dyDescent="0.3">
      <c r="U420" s="46"/>
    </row>
    <row r="421" spans="21:21" x14ac:dyDescent="0.3">
      <c r="U421" s="46"/>
    </row>
    <row r="422" spans="21:21" x14ac:dyDescent="0.3">
      <c r="U422" s="46"/>
    </row>
    <row r="423" spans="21:21" x14ac:dyDescent="0.3">
      <c r="U423" s="46"/>
    </row>
    <row r="424" spans="21:21" x14ac:dyDescent="0.3">
      <c r="U424" s="46"/>
    </row>
    <row r="425" spans="21:21" x14ac:dyDescent="0.3">
      <c r="U425" s="46"/>
    </row>
    <row r="426" spans="21:21" x14ac:dyDescent="0.3">
      <c r="U426" s="46"/>
    </row>
    <row r="427" spans="21:21" x14ac:dyDescent="0.3">
      <c r="U427" s="46"/>
    </row>
    <row r="428" spans="21:21" x14ac:dyDescent="0.3">
      <c r="U428" s="46"/>
    </row>
    <row r="429" spans="21:21" x14ac:dyDescent="0.3">
      <c r="U429" s="46"/>
    </row>
    <row r="430" spans="21:21" x14ac:dyDescent="0.3">
      <c r="U430" s="46"/>
    </row>
    <row r="431" spans="21:21" x14ac:dyDescent="0.3">
      <c r="U431" s="46"/>
    </row>
    <row r="432" spans="21:21" x14ac:dyDescent="0.3">
      <c r="U432" s="46"/>
    </row>
    <row r="433" spans="21:21" x14ac:dyDescent="0.3">
      <c r="U433" s="46"/>
    </row>
    <row r="434" spans="21:21" x14ac:dyDescent="0.3">
      <c r="U434" s="46"/>
    </row>
    <row r="435" spans="21:21" x14ac:dyDescent="0.3">
      <c r="U435" s="46"/>
    </row>
    <row r="436" spans="21:21" x14ac:dyDescent="0.3">
      <c r="U436" s="46"/>
    </row>
    <row r="437" spans="21:21" x14ac:dyDescent="0.3">
      <c r="U437" s="46"/>
    </row>
    <row r="438" spans="21:21" x14ac:dyDescent="0.3">
      <c r="U438" s="46"/>
    </row>
    <row r="439" spans="21:21" x14ac:dyDescent="0.3">
      <c r="U439" s="46"/>
    </row>
    <row r="440" spans="21:21" x14ac:dyDescent="0.3">
      <c r="U440" s="46"/>
    </row>
    <row r="441" spans="21:21" x14ac:dyDescent="0.3">
      <c r="U441" s="46"/>
    </row>
    <row r="442" spans="21:21" x14ac:dyDescent="0.3">
      <c r="U442" s="46"/>
    </row>
    <row r="443" spans="21:21" x14ac:dyDescent="0.3">
      <c r="U443" s="46"/>
    </row>
    <row r="444" spans="21:21" x14ac:dyDescent="0.3">
      <c r="U444" s="46"/>
    </row>
    <row r="445" spans="21:21" x14ac:dyDescent="0.3">
      <c r="U445" s="46"/>
    </row>
    <row r="446" spans="21:21" x14ac:dyDescent="0.3">
      <c r="U446" s="46"/>
    </row>
    <row r="447" spans="21:21" x14ac:dyDescent="0.3">
      <c r="U447" s="46"/>
    </row>
    <row r="448" spans="21:21" x14ac:dyDescent="0.3">
      <c r="U448" s="46"/>
    </row>
    <row r="449" spans="21:21" x14ac:dyDescent="0.3">
      <c r="U449" s="46"/>
    </row>
    <row r="450" spans="21:21" x14ac:dyDescent="0.3">
      <c r="U450" s="46"/>
    </row>
    <row r="451" spans="21:21" x14ac:dyDescent="0.3">
      <c r="U451" s="46"/>
    </row>
    <row r="452" spans="21:21" x14ac:dyDescent="0.3">
      <c r="U452" s="46"/>
    </row>
    <row r="453" spans="21:21" x14ac:dyDescent="0.3">
      <c r="U453" s="46"/>
    </row>
    <row r="454" spans="21:21" x14ac:dyDescent="0.3">
      <c r="U454" s="46"/>
    </row>
    <row r="455" spans="21:21" x14ac:dyDescent="0.3">
      <c r="U455" s="46"/>
    </row>
    <row r="456" spans="21:21" x14ac:dyDescent="0.3">
      <c r="U456" s="46"/>
    </row>
    <row r="457" spans="21:21" x14ac:dyDescent="0.3">
      <c r="U457" s="46"/>
    </row>
    <row r="458" spans="21:21" x14ac:dyDescent="0.3">
      <c r="U458" s="46"/>
    </row>
    <row r="459" spans="21:21" x14ac:dyDescent="0.3">
      <c r="U459" s="46"/>
    </row>
    <row r="460" spans="21:21" x14ac:dyDescent="0.3">
      <c r="U460" s="46"/>
    </row>
    <row r="461" spans="21:21" x14ac:dyDescent="0.3">
      <c r="U461" s="46"/>
    </row>
    <row r="462" spans="21:21" x14ac:dyDescent="0.3">
      <c r="U462" s="46"/>
    </row>
    <row r="463" spans="21:21" x14ac:dyDescent="0.3">
      <c r="U463" s="46"/>
    </row>
    <row r="464" spans="21:21" x14ac:dyDescent="0.3">
      <c r="U464" s="46"/>
    </row>
    <row r="465" spans="21:21" x14ac:dyDescent="0.3">
      <c r="U465" s="46"/>
    </row>
    <row r="466" spans="21:21" x14ac:dyDescent="0.3">
      <c r="U466" s="46"/>
    </row>
    <row r="467" spans="21:21" x14ac:dyDescent="0.3">
      <c r="U467" s="46"/>
    </row>
    <row r="468" spans="21:21" x14ac:dyDescent="0.3">
      <c r="U468" s="46"/>
    </row>
    <row r="469" spans="21:21" x14ac:dyDescent="0.3">
      <c r="U469" s="46"/>
    </row>
    <row r="470" spans="21:21" x14ac:dyDescent="0.3">
      <c r="U470" s="46"/>
    </row>
    <row r="471" spans="21:21" x14ac:dyDescent="0.3">
      <c r="U471" s="46"/>
    </row>
    <row r="472" spans="21:21" x14ac:dyDescent="0.3">
      <c r="U472" s="46"/>
    </row>
    <row r="473" spans="21:21" x14ac:dyDescent="0.3">
      <c r="U473" s="46"/>
    </row>
    <row r="474" spans="21:21" x14ac:dyDescent="0.3">
      <c r="U474" s="46"/>
    </row>
    <row r="475" spans="21:21" x14ac:dyDescent="0.3">
      <c r="U475" s="46"/>
    </row>
    <row r="476" spans="21:21" x14ac:dyDescent="0.3">
      <c r="U476" s="46"/>
    </row>
    <row r="477" spans="21:21" x14ac:dyDescent="0.3">
      <c r="U477" s="46"/>
    </row>
  </sheetData>
  <autoFilter ref="A1:AH316" xr:uid="{19C5F473-F6C2-491A-BFD8-0850B76F5DC5}">
    <sortState xmlns:xlrd2="http://schemas.microsoft.com/office/spreadsheetml/2017/richdata2" ref="A2:AH316">
      <sortCondition ref="B1:B31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16FD5-A57D-4E14-9B64-6739B6CF8F97}">
  <dimension ref="A1:AG53"/>
  <sheetViews>
    <sheetView zoomScale="80" zoomScaleNormal="80" workbookViewId="0">
      <selection activeCell="F7" sqref="F7"/>
    </sheetView>
  </sheetViews>
  <sheetFormatPr defaultColWidth="23.33203125" defaultRowHeight="14.4" x14ac:dyDescent="0.3"/>
  <sheetData>
    <row r="1" spans="1:33" s="6" customFormat="1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3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5" t="s">
        <v>19</v>
      </c>
      <c r="U1" s="3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3" t="s">
        <v>25</v>
      </c>
      <c r="AA1" s="1" t="s">
        <v>26</v>
      </c>
      <c r="AB1" s="3" t="s">
        <v>28</v>
      </c>
      <c r="AC1" s="1" t="s">
        <v>29</v>
      </c>
      <c r="AD1" s="1" t="s">
        <v>30</v>
      </c>
      <c r="AE1" s="1" t="s">
        <v>31</v>
      </c>
      <c r="AF1" s="1" t="s">
        <v>32</v>
      </c>
    </row>
    <row r="2" spans="1:33" s="14" customFormat="1" x14ac:dyDescent="0.3">
      <c r="A2" s="19">
        <v>44980</v>
      </c>
      <c r="B2" s="14" t="s">
        <v>382</v>
      </c>
      <c r="C2" s="14" t="s">
        <v>383</v>
      </c>
      <c r="D2" s="14" t="s">
        <v>384</v>
      </c>
      <c r="E2" s="14" t="s">
        <v>385</v>
      </c>
      <c r="F2" s="14" t="s">
        <v>90</v>
      </c>
      <c r="G2" s="14" t="s">
        <v>64</v>
      </c>
      <c r="H2" s="20">
        <v>10504</v>
      </c>
      <c r="I2" s="14" t="s">
        <v>74</v>
      </c>
      <c r="J2" s="21"/>
      <c r="K2" s="19" t="s">
        <v>386</v>
      </c>
      <c r="L2" s="19">
        <v>45961</v>
      </c>
      <c r="M2" s="19"/>
      <c r="N2" s="14">
        <v>24</v>
      </c>
      <c r="O2" s="22">
        <v>15.15</v>
      </c>
      <c r="P2" s="10"/>
      <c r="Q2" s="10">
        <f t="shared" ref="Q2:Q33" si="0">O2+P2</f>
        <v>15.15</v>
      </c>
      <c r="R2" s="15">
        <v>0</v>
      </c>
      <c r="S2" s="12">
        <v>0</v>
      </c>
      <c r="T2" s="10">
        <f t="shared" ref="T2:T33" si="1">S2/(N2/12)</f>
        <v>0</v>
      </c>
      <c r="U2" s="13">
        <v>0</v>
      </c>
      <c r="W2" s="15">
        <f t="shared" ref="W2:W33" si="2">(U2/12)*Q2</f>
        <v>0</v>
      </c>
      <c r="X2" s="16">
        <f t="shared" ref="X2:X33" si="3">U2/(N2/12)</f>
        <v>0</v>
      </c>
      <c r="Y2" s="15">
        <f t="shared" ref="Y2:Y33" si="4">W2/(N2/12)</f>
        <v>0</v>
      </c>
      <c r="Z2" s="12">
        <f>W2+S2</f>
        <v>0</v>
      </c>
      <c r="AA2" s="15">
        <f t="shared" ref="AA2:AA33" si="5">Z2/(N2/12)</f>
        <v>0</v>
      </c>
      <c r="AB2" s="62"/>
      <c r="AC2" s="23" t="s">
        <v>257</v>
      </c>
      <c r="AD2" s="8" t="s">
        <v>91</v>
      </c>
      <c r="AE2" s="14" t="s">
        <v>92</v>
      </c>
      <c r="AG2" s="14" t="s">
        <v>387</v>
      </c>
    </row>
    <row r="3" spans="1:33" s="24" customFormat="1" ht="28.8" x14ac:dyDescent="0.3">
      <c r="A3" s="19">
        <v>44980</v>
      </c>
      <c r="B3" s="14" t="s">
        <v>1251</v>
      </c>
      <c r="C3" s="14" t="s">
        <v>1252</v>
      </c>
      <c r="D3" s="14" t="s">
        <v>1253</v>
      </c>
      <c r="E3" s="14" t="s">
        <v>243</v>
      </c>
      <c r="F3" s="14" t="s">
        <v>37</v>
      </c>
      <c r="G3" s="14" t="s">
        <v>64</v>
      </c>
      <c r="H3" s="47">
        <v>3937</v>
      </c>
      <c r="I3" s="14" t="s">
        <v>39</v>
      </c>
      <c r="J3" s="21"/>
      <c r="K3" s="19">
        <v>44652</v>
      </c>
      <c r="L3" s="19">
        <v>46630</v>
      </c>
      <c r="M3" s="19"/>
      <c r="N3" s="14">
        <v>65</v>
      </c>
      <c r="O3" s="22">
        <v>16.25</v>
      </c>
      <c r="P3" s="10">
        <v>16.690000000000001</v>
      </c>
      <c r="Q3" s="10">
        <f t="shared" si="0"/>
        <v>32.94</v>
      </c>
      <c r="R3" s="15">
        <v>0.5</v>
      </c>
      <c r="S3" s="12">
        <v>35</v>
      </c>
      <c r="T3" s="10">
        <f t="shared" si="1"/>
        <v>6.4615384615384608</v>
      </c>
      <c r="U3" s="26">
        <v>5</v>
      </c>
      <c r="V3" s="14" t="s">
        <v>40</v>
      </c>
      <c r="W3" s="15">
        <f t="shared" si="2"/>
        <v>13.725</v>
      </c>
      <c r="X3" s="16">
        <f t="shared" si="3"/>
        <v>0.92307692307692302</v>
      </c>
      <c r="Y3" s="15">
        <f t="shared" si="4"/>
        <v>2.5338461538461536</v>
      </c>
      <c r="Z3" s="12">
        <f>W3+S3</f>
        <v>48.725000000000001</v>
      </c>
      <c r="AA3" s="15">
        <f t="shared" si="5"/>
        <v>8.9953846153846158</v>
      </c>
      <c r="AB3" s="14" t="s">
        <v>309</v>
      </c>
      <c r="AC3" s="23"/>
      <c r="AD3" s="14"/>
      <c r="AE3" s="14"/>
      <c r="AF3" s="14" t="s">
        <v>49</v>
      </c>
      <c r="AG3" s="14"/>
    </row>
    <row r="4" spans="1:33" s="14" customFormat="1" ht="28.8" x14ac:dyDescent="0.3">
      <c r="A4" s="19">
        <v>44952</v>
      </c>
      <c r="B4" s="14" t="s">
        <v>1178</v>
      </c>
      <c r="C4" s="14" t="s">
        <v>87</v>
      </c>
      <c r="D4" s="14" t="s">
        <v>88</v>
      </c>
      <c r="E4" s="14" t="s">
        <v>89</v>
      </c>
      <c r="F4" s="14" t="s">
        <v>90</v>
      </c>
      <c r="G4" s="14" t="s">
        <v>64</v>
      </c>
      <c r="H4" s="47">
        <v>3857</v>
      </c>
      <c r="I4" s="14" t="s">
        <v>74</v>
      </c>
      <c r="J4" s="21"/>
      <c r="K4" s="19">
        <v>44774</v>
      </c>
      <c r="L4" s="19">
        <v>45565</v>
      </c>
      <c r="M4" s="19"/>
      <c r="N4" s="14">
        <v>26</v>
      </c>
      <c r="O4" s="22">
        <v>15.5</v>
      </c>
      <c r="P4" s="10">
        <v>14.28</v>
      </c>
      <c r="Q4" s="10">
        <f t="shared" si="0"/>
        <v>29.78</v>
      </c>
      <c r="R4" s="15">
        <v>0.5</v>
      </c>
      <c r="S4" s="12">
        <v>0</v>
      </c>
      <c r="T4" s="10">
        <f t="shared" si="1"/>
        <v>0</v>
      </c>
      <c r="U4" s="26">
        <v>2</v>
      </c>
      <c r="V4" s="14" t="s">
        <v>40</v>
      </c>
      <c r="W4" s="15">
        <f t="shared" si="2"/>
        <v>4.9633333333333329</v>
      </c>
      <c r="X4" s="16">
        <f t="shared" si="3"/>
        <v>0.92307692307692313</v>
      </c>
      <c r="Y4" s="15">
        <f t="shared" si="4"/>
        <v>2.2907692307692309</v>
      </c>
      <c r="Z4" s="12">
        <f>S4+W4</f>
        <v>4.9633333333333329</v>
      </c>
      <c r="AA4" s="15">
        <f t="shared" si="5"/>
        <v>2.2907692307692309</v>
      </c>
      <c r="AB4" s="14" t="s">
        <v>464</v>
      </c>
      <c r="AC4" s="23" t="s">
        <v>186</v>
      </c>
      <c r="AE4" s="14" t="s">
        <v>1179</v>
      </c>
      <c r="AF4" s="14" t="s">
        <v>466</v>
      </c>
    </row>
    <row r="5" spans="1:33" s="14" customFormat="1" ht="28.8" x14ac:dyDescent="0.3">
      <c r="A5" s="19">
        <v>44935</v>
      </c>
      <c r="B5" s="14" t="s">
        <v>471</v>
      </c>
      <c r="C5" s="14" t="s">
        <v>472</v>
      </c>
      <c r="D5" s="14" t="s">
        <v>473</v>
      </c>
      <c r="E5" s="14" t="s">
        <v>79</v>
      </c>
      <c r="F5" s="14" t="s">
        <v>37</v>
      </c>
      <c r="G5" s="14" t="s">
        <v>38</v>
      </c>
      <c r="H5" s="47">
        <v>12187</v>
      </c>
      <c r="I5" s="14" t="s">
        <v>212</v>
      </c>
      <c r="J5" s="21"/>
      <c r="K5" s="19">
        <v>44866</v>
      </c>
      <c r="L5" s="19">
        <v>45535</v>
      </c>
      <c r="M5" s="19"/>
      <c r="N5" s="14">
        <v>22</v>
      </c>
      <c r="O5" s="22"/>
      <c r="P5" s="10"/>
      <c r="Q5" s="10">
        <f t="shared" si="0"/>
        <v>0</v>
      </c>
      <c r="R5" s="15">
        <v>0.5</v>
      </c>
      <c r="S5" s="12">
        <v>0</v>
      </c>
      <c r="T5" s="10">
        <f t="shared" si="1"/>
        <v>0</v>
      </c>
      <c r="U5" s="26">
        <v>2</v>
      </c>
      <c r="V5" s="14" t="s">
        <v>40</v>
      </c>
      <c r="W5" s="15">
        <f t="shared" si="2"/>
        <v>0</v>
      </c>
      <c r="X5" s="16">
        <f t="shared" si="3"/>
        <v>1.0909090909090911</v>
      </c>
      <c r="Y5" s="15">
        <f t="shared" si="4"/>
        <v>0</v>
      </c>
      <c r="Z5" s="12">
        <f>S5+W5</f>
        <v>0</v>
      </c>
      <c r="AA5" s="15">
        <f t="shared" si="5"/>
        <v>0</v>
      </c>
      <c r="AB5" s="14" t="s">
        <v>1281</v>
      </c>
      <c r="AC5" s="23" t="s">
        <v>136</v>
      </c>
      <c r="AD5" s="14" t="s">
        <v>475</v>
      </c>
      <c r="AE5" s="14" t="s">
        <v>1282</v>
      </c>
      <c r="AF5" s="14" t="s">
        <v>476</v>
      </c>
      <c r="AG5" s="48"/>
    </row>
    <row r="6" spans="1:33" s="14" customFormat="1" ht="28.8" x14ac:dyDescent="0.3">
      <c r="A6" s="19">
        <v>44929</v>
      </c>
      <c r="B6" s="14" t="s">
        <v>1198</v>
      </c>
      <c r="C6" s="14" t="s">
        <v>128</v>
      </c>
      <c r="D6" s="14" t="s">
        <v>701</v>
      </c>
      <c r="E6" s="14" t="s">
        <v>103</v>
      </c>
      <c r="F6" s="14" t="s">
        <v>37</v>
      </c>
      <c r="G6" s="14" t="s">
        <v>38</v>
      </c>
      <c r="H6" s="47">
        <v>5655</v>
      </c>
      <c r="I6" s="14" t="s">
        <v>74</v>
      </c>
      <c r="J6" s="21"/>
      <c r="K6" s="19">
        <v>44743</v>
      </c>
      <c r="L6" s="19">
        <v>45535</v>
      </c>
      <c r="M6" s="19"/>
      <c r="N6" s="14">
        <v>26</v>
      </c>
      <c r="O6" s="22">
        <v>22.5</v>
      </c>
      <c r="P6" s="10">
        <v>12.6</v>
      </c>
      <c r="Q6" s="10">
        <f t="shared" si="0"/>
        <v>35.1</v>
      </c>
      <c r="R6" s="11">
        <v>0.03</v>
      </c>
      <c r="S6" s="12">
        <v>0</v>
      </c>
      <c r="T6" s="10">
        <f t="shared" si="1"/>
        <v>0</v>
      </c>
      <c r="U6" s="26">
        <v>2</v>
      </c>
      <c r="V6" s="14" t="s">
        <v>169</v>
      </c>
      <c r="W6" s="15">
        <f t="shared" si="2"/>
        <v>5.85</v>
      </c>
      <c r="X6" s="16">
        <f t="shared" si="3"/>
        <v>0.92307692307692313</v>
      </c>
      <c r="Y6" s="15">
        <f t="shared" si="4"/>
        <v>2.7</v>
      </c>
      <c r="Z6" s="12">
        <f>W6+S6</f>
        <v>5.85</v>
      </c>
      <c r="AA6" s="15">
        <f t="shared" si="5"/>
        <v>2.7</v>
      </c>
      <c r="AB6" s="14" t="s">
        <v>228</v>
      </c>
      <c r="AC6" s="23" t="s">
        <v>186</v>
      </c>
      <c r="AF6" s="14" t="s">
        <v>230</v>
      </c>
    </row>
    <row r="7" spans="1:33" s="14" customFormat="1" x14ac:dyDescent="0.3">
      <c r="A7" s="19">
        <v>44848</v>
      </c>
      <c r="B7" s="14" t="s">
        <v>1290</v>
      </c>
      <c r="C7" s="14" t="s">
        <v>1291</v>
      </c>
      <c r="D7" s="14" t="s">
        <v>1292</v>
      </c>
      <c r="E7" s="14" t="s">
        <v>89</v>
      </c>
      <c r="F7" s="14" t="s">
        <v>90</v>
      </c>
      <c r="G7" s="14" t="s">
        <v>64</v>
      </c>
      <c r="H7" s="20">
        <v>20755</v>
      </c>
      <c r="I7" s="14" t="s">
        <v>414</v>
      </c>
      <c r="J7" s="21"/>
      <c r="K7" s="19">
        <v>44866</v>
      </c>
      <c r="L7" s="19">
        <v>45716</v>
      </c>
      <c r="M7" s="19"/>
      <c r="N7" s="14">
        <v>40</v>
      </c>
      <c r="O7" s="22">
        <v>15.5</v>
      </c>
      <c r="P7" s="10">
        <v>17.3</v>
      </c>
      <c r="Q7" s="10">
        <f t="shared" si="0"/>
        <v>32.799999999999997</v>
      </c>
      <c r="R7" s="15">
        <v>0.5</v>
      </c>
      <c r="S7" s="12">
        <v>10</v>
      </c>
      <c r="T7" s="10">
        <f t="shared" si="1"/>
        <v>3</v>
      </c>
      <c r="U7" s="26">
        <v>4</v>
      </c>
      <c r="V7" s="14" t="s">
        <v>169</v>
      </c>
      <c r="W7" s="15">
        <f t="shared" si="2"/>
        <v>10.933333333333332</v>
      </c>
      <c r="X7" s="16">
        <f t="shared" si="3"/>
        <v>1.2</v>
      </c>
      <c r="Y7" s="15">
        <f t="shared" si="4"/>
        <v>3.2799999999999994</v>
      </c>
      <c r="Z7" s="12">
        <f>S7+W7</f>
        <v>20.93333333333333</v>
      </c>
      <c r="AA7" s="15">
        <f t="shared" si="5"/>
        <v>6.2799999999999985</v>
      </c>
      <c r="AB7" s="62">
        <f>AA7/O7</f>
        <v>0.40516129032258053</v>
      </c>
      <c r="AC7" s="23" t="s">
        <v>1293</v>
      </c>
      <c r="AD7" s="8" t="s">
        <v>91</v>
      </c>
      <c r="AE7" s="14" t="s">
        <v>131</v>
      </c>
    </row>
    <row r="8" spans="1:33" s="14" customFormat="1" ht="28.8" x14ac:dyDescent="0.3">
      <c r="A8" s="19">
        <v>44684</v>
      </c>
      <c r="B8" s="14" t="s">
        <v>1310</v>
      </c>
      <c r="C8" s="14" t="s">
        <v>1311</v>
      </c>
      <c r="D8" s="14" t="s">
        <v>863</v>
      </c>
      <c r="E8" s="14" t="s">
        <v>89</v>
      </c>
      <c r="F8" s="14" t="s">
        <v>90</v>
      </c>
      <c r="H8" s="20">
        <v>3684</v>
      </c>
      <c r="I8" s="14" t="s">
        <v>39</v>
      </c>
      <c r="J8" s="21"/>
      <c r="K8" s="19">
        <v>43922</v>
      </c>
      <c r="L8" s="19">
        <v>45900</v>
      </c>
      <c r="M8" s="19"/>
      <c r="N8" s="14">
        <v>65</v>
      </c>
      <c r="O8" s="22">
        <v>13.75</v>
      </c>
      <c r="P8" s="10"/>
      <c r="Q8" s="10">
        <f t="shared" si="0"/>
        <v>13.75</v>
      </c>
      <c r="R8" s="15">
        <v>0.5</v>
      </c>
      <c r="S8" s="12">
        <v>15</v>
      </c>
      <c r="T8" s="10">
        <f t="shared" si="1"/>
        <v>2.7692307692307692</v>
      </c>
      <c r="U8" s="26">
        <v>5</v>
      </c>
      <c r="V8" s="14" t="s">
        <v>40</v>
      </c>
      <c r="W8" s="15">
        <f t="shared" si="2"/>
        <v>5.729166666666667</v>
      </c>
      <c r="X8" s="16">
        <f t="shared" si="3"/>
        <v>0.92307692307692302</v>
      </c>
      <c r="Y8" s="15">
        <f t="shared" si="4"/>
        <v>1.0576923076923077</v>
      </c>
      <c r="Z8" s="12">
        <f>W8+S8</f>
        <v>20.729166666666668</v>
      </c>
      <c r="AA8" s="15">
        <f t="shared" si="5"/>
        <v>3.8269230769230771</v>
      </c>
      <c r="AB8" s="62">
        <f>AA8/O8</f>
        <v>0.27832167832167831</v>
      </c>
      <c r="AC8" s="23" t="s">
        <v>363</v>
      </c>
      <c r="AD8" s="14" t="s">
        <v>390</v>
      </c>
      <c r="AE8" s="14" t="s">
        <v>694</v>
      </c>
      <c r="AG8" s="14" t="s">
        <v>1312</v>
      </c>
    </row>
    <row r="9" spans="1:33" s="24" customFormat="1" ht="28.8" x14ac:dyDescent="0.3">
      <c r="A9" s="19">
        <v>44664</v>
      </c>
      <c r="B9" s="14" t="s">
        <v>1298</v>
      </c>
      <c r="C9" s="14" t="s">
        <v>372</v>
      </c>
      <c r="D9" s="14" t="s">
        <v>586</v>
      </c>
      <c r="E9" s="14" t="s">
        <v>62</v>
      </c>
      <c r="F9" s="14" t="s">
        <v>63</v>
      </c>
      <c r="G9" s="14" t="s">
        <v>64</v>
      </c>
      <c r="H9" s="20">
        <v>2628</v>
      </c>
      <c r="I9" s="14" t="s">
        <v>39</v>
      </c>
      <c r="J9" s="21"/>
      <c r="K9" s="19">
        <v>44562</v>
      </c>
      <c r="L9" s="19">
        <v>45777</v>
      </c>
      <c r="M9" s="19"/>
      <c r="N9" s="14">
        <v>40</v>
      </c>
      <c r="O9" s="22">
        <v>17</v>
      </c>
      <c r="P9" s="10">
        <v>17.12</v>
      </c>
      <c r="Q9" s="10">
        <f t="shared" si="0"/>
        <v>34.120000000000005</v>
      </c>
      <c r="R9" s="15">
        <v>0.5</v>
      </c>
      <c r="S9" s="12">
        <v>0</v>
      </c>
      <c r="T9" s="10">
        <f t="shared" si="1"/>
        <v>0</v>
      </c>
      <c r="U9" s="26">
        <v>3</v>
      </c>
      <c r="V9" s="14" t="s">
        <v>40</v>
      </c>
      <c r="W9" s="15">
        <f t="shared" si="2"/>
        <v>8.5300000000000011</v>
      </c>
      <c r="X9" s="16">
        <f t="shared" si="3"/>
        <v>0.89999999999999991</v>
      </c>
      <c r="Y9" s="15">
        <f t="shared" si="4"/>
        <v>2.5590000000000002</v>
      </c>
      <c r="Z9" s="12">
        <f>W9+S9</f>
        <v>8.5300000000000011</v>
      </c>
      <c r="AA9" s="15">
        <f t="shared" si="5"/>
        <v>2.5590000000000002</v>
      </c>
      <c r="AB9" s="62">
        <f>AA9/O9</f>
        <v>0.15052941176470588</v>
      </c>
      <c r="AC9" s="23" t="s">
        <v>363</v>
      </c>
      <c r="AD9" s="14" t="s">
        <v>136</v>
      </c>
      <c r="AE9" s="14" t="s">
        <v>1299</v>
      </c>
      <c r="AF9" s="14" t="s">
        <v>1300</v>
      </c>
      <c r="AG9" s="14" t="s">
        <v>1301</v>
      </c>
    </row>
    <row r="10" spans="1:33" s="14" customFormat="1" ht="28.8" x14ac:dyDescent="0.3">
      <c r="A10" s="19">
        <v>44652</v>
      </c>
      <c r="B10" s="14" t="s">
        <v>1239</v>
      </c>
      <c r="C10" s="14" t="s">
        <v>372</v>
      </c>
      <c r="D10" s="14" t="s">
        <v>1206</v>
      </c>
      <c r="E10" s="14" t="s">
        <v>62</v>
      </c>
      <c r="F10" s="14" t="s">
        <v>63</v>
      </c>
      <c r="G10" s="14" t="s">
        <v>64</v>
      </c>
      <c r="H10" s="47">
        <v>6769</v>
      </c>
      <c r="I10" s="14" t="s">
        <v>74</v>
      </c>
      <c r="J10" s="21"/>
      <c r="K10" s="19">
        <v>44621</v>
      </c>
      <c r="L10" s="19">
        <v>45412</v>
      </c>
      <c r="M10" s="19"/>
      <c r="N10" s="14">
        <v>26</v>
      </c>
      <c r="O10" s="22">
        <v>16.5</v>
      </c>
      <c r="P10" s="10">
        <v>17.12</v>
      </c>
      <c r="Q10" s="10">
        <f t="shared" si="0"/>
        <v>33.620000000000005</v>
      </c>
      <c r="R10" s="15">
        <v>0.5</v>
      </c>
      <c r="S10" s="12">
        <v>0</v>
      </c>
      <c r="T10" s="10">
        <f t="shared" si="1"/>
        <v>0</v>
      </c>
      <c r="U10" s="26">
        <v>2</v>
      </c>
      <c r="V10" s="14" t="s">
        <v>40</v>
      </c>
      <c r="W10" s="15">
        <f t="shared" si="2"/>
        <v>5.6033333333333335</v>
      </c>
      <c r="X10" s="16">
        <f t="shared" si="3"/>
        <v>0.92307692307692313</v>
      </c>
      <c r="Y10" s="15">
        <f t="shared" si="4"/>
        <v>2.5861538461538465</v>
      </c>
      <c r="Z10" s="12">
        <f>S10+W10</f>
        <v>5.6033333333333335</v>
      </c>
      <c r="AA10" s="15">
        <f t="shared" si="5"/>
        <v>2.5861538461538465</v>
      </c>
      <c r="AB10" s="23" t="s">
        <v>363</v>
      </c>
      <c r="AC10" s="14" t="s">
        <v>98</v>
      </c>
      <c r="AD10" s="14" t="s">
        <v>1240</v>
      </c>
      <c r="AF10" s="14" t="s">
        <v>648</v>
      </c>
    </row>
    <row r="11" spans="1:33" s="14" customFormat="1" ht="43.2" x14ac:dyDescent="0.3">
      <c r="A11" s="19">
        <v>44651</v>
      </c>
      <c r="B11" s="14" t="s">
        <v>1190</v>
      </c>
      <c r="C11" s="14" t="s">
        <v>161</v>
      </c>
      <c r="D11" s="14" t="s">
        <v>1191</v>
      </c>
      <c r="E11" s="14" t="s">
        <v>163</v>
      </c>
      <c r="F11" s="14" t="s">
        <v>90</v>
      </c>
      <c r="G11" s="14" t="s">
        <v>64</v>
      </c>
      <c r="H11" s="47">
        <v>13251</v>
      </c>
      <c r="I11" s="14" t="s">
        <v>74</v>
      </c>
      <c r="J11" s="21"/>
      <c r="K11" s="19">
        <v>44743</v>
      </c>
      <c r="L11" s="19">
        <v>45535</v>
      </c>
      <c r="M11" s="19"/>
      <c r="N11" s="14">
        <v>26</v>
      </c>
      <c r="O11" s="22">
        <v>16.25</v>
      </c>
      <c r="P11" s="10">
        <v>17.010000000000002</v>
      </c>
      <c r="Q11" s="10">
        <f t="shared" si="0"/>
        <v>33.260000000000005</v>
      </c>
      <c r="R11" s="15">
        <v>0.5</v>
      </c>
      <c r="S11" s="12">
        <v>8</v>
      </c>
      <c r="T11" s="10">
        <f t="shared" si="1"/>
        <v>3.6923076923076925</v>
      </c>
      <c r="U11" s="26">
        <v>2</v>
      </c>
      <c r="V11" s="14" t="s">
        <v>40</v>
      </c>
      <c r="W11" s="15">
        <f t="shared" si="2"/>
        <v>5.5433333333333339</v>
      </c>
      <c r="X11" s="16">
        <f t="shared" si="3"/>
        <v>0.92307692307692313</v>
      </c>
      <c r="Y11" s="15">
        <f t="shared" si="4"/>
        <v>2.5584615384615388</v>
      </c>
      <c r="Z11" s="12">
        <f>S11+W11</f>
        <v>13.543333333333333</v>
      </c>
      <c r="AA11" s="15">
        <f t="shared" si="5"/>
        <v>6.2507692307692313</v>
      </c>
      <c r="AB11" s="23" t="s">
        <v>317</v>
      </c>
      <c r="AE11" s="14" t="s">
        <v>1192</v>
      </c>
    </row>
    <row r="12" spans="1:33" s="14" customFormat="1" ht="28.8" x14ac:dyDescent="0.3">
      <c r="A12" s="19">
        <v>44582</v>
      </c>
      <c r="B12" s="14" t="s">
        <v>696</v>
      </c>
      <c r="C12" s="14" t="s">
        <v>697</v>
      </c>
      <c r="D12" s="14" t="s">
        <v>698</v>
      </c>
      <c r="E12" s="14" t="s">
        <v>144</v>
      </c>
      <c r="F12" s="14" t="s">
        <v>37</v>
      </c>
      <c r="G12" s="14" t="s">
        <v>64</v>
      </c>
      <c r="H12" s="20">
        <v>7397</v>
      </c>
      <c r="I12" s="14" t="s">
        <v>74</v>
      </c>
      <c r="J12" s="21"/>
      <c r="K12" s="19">
        <v>44774</v>
      </c>
      <c r="L12" s="19">
        <v>45961</v>
      </c>
      <c r="M12" s="19"/>
      <c r="N12" s="14">
        <v>39</v>
      </c>
      <c r="O12" s="22">
        <v>15</v>
      </c>
      <c r="P12" s="10">
        <v>13.98</v>
      </c>
      <c r="Q12" s="10">
        <f t="shared" si="0"/>
        <v>28.98</v>
      </c>
      <c r="R12" s="15">
        <v>0.5</v>
      </c>
      <c r="S12" s="12">
        <v>10</v>
      </c>
      <c r="T12" s="10">
        <f t="shared" si="1"/>
        <v>3.0769230769230771</v>
      </c>
      <c r="U12" s="26">
        <v>6</v>
      </c>
      <c r="W12" s="15">
        <f t="shared" si="2"/>
        <v>14.49</v>
      </c>
      <c r="X12" s="16">
        <f t="shared" si="3"/>
        <v>1.8461538461538463</v>
      </c>
      <c r="Y12" s="15">
        <f t="shared" si="4"/>
        <v>4.4584615384615383</v>
      </c>
      <c r="Z12" s="12">
        <f>S12+W12</f>
        <v>24.490000000000002</v>
      </c>
      <c r="AA12" s="15">
        <f t="shared" si="5"/>
        <v>7.5353846153846158</v>
      </c>
      <c r="AB12" s="49">
        <f>AA12/O12</f>
        <v>0.50235897435897436</v>
      </c>
      <c r="AC12" s="14" t="s">
        <v>699</v>
      </c>
      <c r="AD12" s="14" t="s">
        <v>42</v>
      </c>
      <c r="AE12" s="14" t="s">
        <v>587</v>
      </c>
      <c r="AG12" s="14" t="s">
        <v>642</v>
      </c>
    </row>
    <row r="13" spans="1:33" s="14" customFormat="1" ht="28.8" x14ac:dyDescent="0.3">
      <c r="A13" s="19">
        <v>44543</v>
      </c>
      <c r="B13" s="14" t="s">
        <v>1203</v>
      </c>
      <c r="C13" s="14" t="s">
        <v>347</v>
      </c>
      <c r="D13" s="14" t="s">
        <v>1204</v>
      </c>
      <c r="E13" s="14" t="s">
        <v>103</v>
      </c>
      <c r="F13" s="14" t="s">
        <v>37</v>
      </c>
      <c r="G13" s="14" t="s">
        <v>64</v>
      </c>
      <c r="H13" s="47">
        <v>5419</v>
      </c>
      <c r="I13" s="14" t="s">
        <v>74</v>
      </c>
      <c r="J13" s="21">
        <v>44531</v>
      </c>
      <c r="K13" s="19">
        <v>44593</v>
      </c>
      <c r="L13" s="19">
        <v>45077</v>
      </c>
      <c r="M13" s="19"/>
      <c r="N13" s="14">
        <v>16</v>
      </c>
      <c r="O13" s="22">
        <v>16</v>
      </c>
      <c r="P13" s="10">
        <v>13.03</v>
      </c>
      <c r="Q13" s="10">
        <f t="shared" si="0"/>
        <v>29.03</v>
      </c>
      <c r="R13" s="15">
        <v>0</v>
      </c>
      <c r="S13" s="12">
        <v>0</v>
      </c>
      <c r="T13" s="10">
        <f t="shared" si="1"/>
        <v>0</v>
      </c>
      <c r="U13" s="26">
        <v>2</v>
      </c>
      <c r="V13" s="14" t="s">
        <v>40</v>
      </c>
      <c r="W13" s="15">
        <f t="shared" si="2"/>
        <v>4.8383333333333329</v>
      </c>
      <c r="X13" s="16">
        <f t="shared" si="3"/>
        <v>1.5</v>
      </c>
      <c r="Y13" s="15">
        <f t="shared" si="4"/>
        <v>3.6287499999999997</v>
      </c>
      <c r="Z13" s="12">
        <f>W13+S13</f>
        <v>4.8383333333333329</v>
      </c>
      <c r="AA13" s="15">
        <f t="shared" si="5"/>
        <v>3.6287499999999997</v>
      </c>
      <c r="AB13" s="23" t="s">
        <v>349</v>
      </c>
      <c r="AC13" s="14" t="s">
        <v>91</v>
      </c>
      <c r="AD13" s="14" t="s">
        <v>598</v>
      </c>
      <c r="AF13" s="14" t="s">
        <v>58</v>
      </c>
    </row>
    <row r="14" spans="1:33" s="14" customFormat="1" ht="43.2" x14ac:dyDescent="0.3">
      <c r="A14" s="19">
        <v>44543</v>
      </c>
      <c r="B14" s="14" t="s">
        <v>1205</v>
      </c>
      <c r="C14" s="14" t="s">
        <v>585</v>
      </c>
      <c r="D14" s="14" t="s">
        <v>1206</v>
      </c>
      <c r="E14" s="14" t="s">
        <v>62</v>
      </c>
      <c r="F14" s="14" t="s">
        <v>63</v>
      </c>
      <c r="G14" s="14" t="s">
        <v>64</v>
      </c>
      <c r="H14" s="47">
        <v>8812</v>
      </c>
      <c r="I14" s="14" t="s">
        <v>212</v>
      </c>
      <c r="J14" s="21">
        <v>44470</v>
      </c>
      <c r="K14" s="19">
        <v>44531</v>
      </c>
      <c r="L14" s="19">
        <v>46446</v>
      </c>
      <c r="M14" s="19"/>
      <c r="N14" s="14">
        <v>63</v>
      </c>
      <c r="O14" s="22"/>
      <c r="P14" s="10"/>
      <c r="Q14" s="10">
        <f t="shared" si="0"/>
        <v>0</v>
      </c>
      <c r="R14" s="15">
        <v>0.5</v>
      </c>
      <c r="S14" s="12">
        <v>0</v>
      </c>
      <c r="T14" s="10">
        <f t="shared" si="1"/>
        <v>0</v>
      </c>
      <c r="U14" s="26">
        <v>4</v>
      </c>
      <c r="V14" s="14" t="s">
        <v>40</v>
      </c>
      <c r="W14" s="15">
        <f t="shared" si="2"/>
        <v>0</v>
      </c>
      <c r="X14" s="16">
        <f t="shared" si="3"/>
        <v>0.76190476190476186</v>
      </c>
      <c r="Y14" s="15">
        <f t="shared" si="4"/>
        <v>0</v>
      </c>
      <c r="Z14" s="12">
        <f>W14+S14</f>
        <v>0</v>
      </c>
      <c r="AA14" s="15">
        <f t="shared" si="5"/>
        <v>0</v>
      </c>
      <c r="AB14" s="23" t="s">
        <v>1207</v>
      </c>
      <c r="AC14" s="14" t="s">
        <v>91</v>
      </c>
      <c r="AD14" s="14" t="s">
        <v>56</v>
      </c>
      <c r="AE14" s="14" t="s">
        <v>1208</v>
      </c>
      <c r="AF14" s="14" t="s">
        <v>58</v>
      </c>
    </row>
    <row r="15" spans="1:33" s="14" customFormat="1" ht="43.2" x14ac:dyDescent="0.3">
      <c r="A15" s="19">
        <v>44506</v>
      </c>
      <c r="B15" s="14" t="s">
        <v>1313</v>
      </c>
      <c r="C15" s="14" t="s">
        <v>1314</v>
      </c>
      <c r="D15" s="14" t="s">
        <v>1315</v>
      </c>
      <c r="E15" s="14" t="s">
        <v>79</v>
      </c>
      <c r="F15" s="14" t="s">
        <v>37</v>
      </c>
      <c r="G15" s="14" t="s">
        <v>38</v>
      </c>
      <c r="H15" s="20">
        <v>36358</v>
      </c>
      <c r="I15" s="14" t="s">
        <v>212</v>
      </c>
      <c r="J15" s="21"/>
      <c r="K15" s="19">
        <v>44562</v>
      </c>
      <c r="L15" s="19">
        <v>45961</v>
      </c>
      <c r="M15" s="19"/>
      <c r="N15" s="14">
        <v>34</v>
      </c>
      <c r="O15" s="22"/>
      <c r="P15" s="10"/>
      <c r="Q15" s="10">
        <f t="shared" si="0"/>
        <v>0</v>
      </c>
      <c r="S15" s="23"/>
      <c r="T15" s="10">
        <f t="shared" si="1"/>
        <v>0</v>
      </c>
      <c r="U15" s="23"/>
      <c r="W15" s="15">
        <f t="shared" si="2"/>
        <v>0</v>
      </c>
      <c r="X15" s="16">
        <f t="shared" si="3"/>
        <v>0</v>
      </c>
      <c r="Y15" s="15">
        <f t="shared" si="4"/>
        <v>0</v>
      </c>
      <c r="Z15" s="12">
        <f>W15+S15</f>
        <v>0</v>
      </c>
      <c r="AA15" s="15">
        <f t="shared" si="5"/>
        <v>0</v>
      </c>
      <c r="AB15" s="49" t="e">
        <f>AA15/O15</f>
        <v>#DIV/0!</v>
      </c>
      <c r="AC15" s="14" t="s">
        <v>1316</v>
      </c>
      <c r="AD15" s="14" t="s">
        <v>42</v>
      </c>
      <c r="AE15" s="14" t="s">
        <v>158</v>
      </c>
      <c r="AF15" s="14" t="s">
        <v>1317</v>
      </c>
    </row>
    <row r="16" spans="1:33" s="14" customFormat="1" ht="100.8" x14ac:dyDescent="0.3">
      <c r="A16" s="19">
        <v>44438</v>
      </c>
      <c r="B16" s="14" t="s">
        <v>762</v>
      </c>
      <c r="C16" s="14" t="s">
        <v>167</v>
      </c>
      <c r="D16" s="14" t="s">
        <v>763</v>
      </c>
      <c r="E16" s="14" t="s">
        <v>168</v>
      </c>
      <c r="F16" s="14" t="s">
        <v>37</v>
      </c>
      <c r="G16" s="14" t="s">
        <v>38</v>
      </c>
      <c r="H16" s="20">
        <v>21805</v>
      </c>
      <c r="I16" s="14" t="s">
        <v>212</v>
      </c>
      <c r="J16" s="21"/>
      <c r="K16" s="19">
        <v>44440</v>
      </c>
      <c r="L16" s="19">
        <v>45991</v>
      </c>
      <c r="M16" s="19"/>
      <c r="N16" s="14">
        <v>51</v>
      </c>
      <c r="O16" s="22">
        <v>5.98</v>
      </c>
      <c r="P16" s="10">
        <v>6.77</v>
      </c>
      <c r="Q16" s="10">
        <f t="shared" si="0"/>
        <v>12.75</v>
      </c>
      <c r="R16" s="15">
        <v>0.5</v>
      </c>
      <c r="S16" s="12">
        <v>0</v>
      </c>
      <c r="T16" s="10">
        <f t="shared" si="1"/>
        <v>0</v>
      </c>
      <c r="U16" s="13">
        <v>0</v>
      </c>
      <c r="W16" s="15">
        <f t="shared" si="2"/>
        <v>0</v>
      </c>
      <c r="X16" s="16">
        <f t="shared" si="3"/>
        <v>0</v>
      </c>
      <c r="Y16" s="15">
        <f t="shared" si="4"/>
        <v>0</v>
      </c>
      <c r="Z16" s="12">
        <f>S16+W16</f>
        <v>0</v>
      </c>
      <c r="AA16" s="15">
        <f t="shared" si="5"/>
        <v>0</v>
      </c>
      <c r="AB16" s="49">
        <f>AA16/O16</f>
        <v>0</v>
      </c>
      <c r="AC16" s="14" t="s">
        <v>764</v>
      </c>
      <c r="AF16" s="14" t="s">
        <v>765</v>
      </c>
      <c r="AG16" s="14" t="s">
        <v>766</v>
      </c>
    </row>
    <row r="17" spans="1:33" s="14" customFormat="1" ht="28.8" x14ac:dyDescent="0.3">
      <c r="A17" s="19">
        <v>44307</v>
      </c>
      <c r="B17" s="14" t="s">
        <v>1221</v>
      </c>
      <c r="C17" s="14" t="s">
        <v>175</v>
      </c>
      <c r="D17" s="14" t="s">
        <v>1222</v>
      </c>
      <c r="E17" s="14" t="s">
        <v>62</v>
      </c>
      <c r="F17" s="14" t="s">
        <v>63</v>
      </c>
      <c r="G17" s="14" t="s">
        <v>64</v>
      </c>
      <c r="H17" s="47">
        <v>6510</v>
      </c>
      <c r="I17" s="14" t="s">
        <v>74</v>
      </c>
      <c r="J17" s="21"/>
      <c r="K17" s="19">
        <v>44348</v>
      </c>
      <c r="L17" s="19">
        <v>45535</v>
      </c>
      <c r="M17" s="19"/>
      <c r="N17" s="14">
        <v>39</v>
      </c>
      <c r="O17" s="22">
        <v>21.7</v>
      </c>
      <c r="P17" s="10">
        <v>13.3</v>
      </c>
      <c r="Q17" s="10">
        <f t="shared" si="0"/>
        <v>35</v>
      </c>
      <c r="R17" s="15">
        <v>0.5</v>
      </c>
      <c r="S17" s="12">
        <v>0</v>
      </c>
      <c r="T17" s="10">
        <f t="shared" si="1"/>
        <v>0</v>
      </c>
      <c r="U17" s="26">
        <v>3</v>
      </c>
      <c r="V17" s="14" t="s">
        <v>40</v>
      </c>
      <c r="W17" s="15">
        <f t="shared" si="2"/>
        <v>8.75</v>
      </c>
      <c r="X17" s="16">
        <f t="shared" si="3"/>
        <v>0.92307692307692313</v>
      </c>
      <c r="Y17" s="15">
        <f t="shared" si="4"/>
        <v>2.6923076923076925</v>
      </c>
      <c r="Z17" s="12">
        <f>S17+W17</f>
        <v>8.75</v>
      </c>
      <c r="AA17" s="15">
        <f t="shared" si="5"/>
        <v>2.6923076923076925</v>
      </c>
      <c r="AB17" s="23" t="s">
        <v>178</v>
      </c>
      <c r="AC17" s="14" t="s">
        <v>538</v>
      </c>
      <c r="AD17" s="14" t="s">
        <v>748</v>
      </c>
      <c r="AF17" s="14" t="s">
        <v>1223</v>
      </c>
    </row>
    <row r="18" spans="1:33" s="14" customFormat="1" ht="43.2" x14ac:dyDescent="0.3">
      <c r="A18" s="19">
        <v>44287</v>
      </c>
      <c r="B18" s="14" t="s">
        <v>828</v>
      </c>
      <c r="C18" s="14" t="s">
        <v>167</v>
      </c>
      <c r="D18" s="14" t="s">
        <v>763</v>
      </c>
      <c r="E18" s="14" t="s">
        <v>168</v>
      </c>
      <c r="F18" s="14" t="s">
        <v>37</v>
      </c>
      <c r="G18" s="14" t="s">
        <v>38</v>
      </c>
      <c r="H18" s="20">
        <v>20461</v>
      </c>
      <c r="I18" s="14" t="s">
        <v>212</v>
      </c>
      <c r="J18" s="21">
        <v>43922</v>
      </c>
      <c r="K18" s="19">
        <v>43983</v>
      </c>
      <c r="L18" s="19">
        <v>45991</v>
      </c>
      <c r="M18" s="19"/>
      <c r="N18" s="14">
        <v>66</v>
      </c>
      <c r="O18" s="22">
        <v>14</v>
      </c>
      <c r="P18" s="10">
        <v>6.77</v>
      </c>
      <c r="Q18" s="10">
        <f t="shared" si="0"/>
        <v>20.77</v>
      </c>
      <c r="R18" s="15">
        <v>0.5</v>
      </c>
      <c r="S18" s="12">
        <v>0</v>
      </c>
      <c r="T18" s="10">
        <f t="shared" si="1"/>
        <v>0</v>
      </c>
      <c r="U18" s="26">
        <v>2</v>
      </c>
      <c r="V18" s="14" t="s">
        <v>40</v>
      </c>
      <c r="W18" s="15">
        <f t="shared" si="2"/>
        <v>3.4616666666666664</v>
      </c>
      <c r="X18" s="16">
        <f t="shared" si="3"/>
        <v>0.36363636363636365</v>
      </c>
      <c r="Y18" s="15">
        <f t="shared" si="4"/>
        <v>0.62939393939393939</v>
      </c>
      <c r="Z18" s="12">
        <f>W18+S18</f>
        <v>3.4616666666666664</v>
      </c>
      <c r="AA18" s="15">
        <f t="shared" si="5"/>
        <v>0.62939393939393939</v>
      </c>
      <c r="AB18" s="49">
        <f>AA18/O18</f>
        <v>4.4956709956709959E-2</v>
      </c>
      <c r="AC18" s="14" t="s">
        <v>764</v>
      </c>
      <c r="AD18" s="8" t="s">
        <v>91</v>
      </c>
      <c r="AE18" s="14" t="s">
        <v>116</v>
      </c>
      <c r="AF18" s="14" t="s">
        <v>829</v>
      </c>
      <c r="AG18" s="14" t="s">
        <v>441</v>
      </c>
    </row>
    <row r="19" spans="1:33" s="14" customFormat="1" ht="28.8" x14ac:dyDescent="0.3">
      <c r="A19" s="19">
        <v>44228</v>
      </c>
      <c r="B19" s="14" t="s">
        <v>1257</v>
      </c>
      <c r="C19" s="14" t="s">
        <v>675</v>
      </c>
      <c r="D19" s="14" t="s">
        <v>1258</v>
      </c>
      <c r="E19" s="14" t="s">
        <v>103</v>
      </c>
      <c r="F19" s="14" t="s">
        <v>37</v>
      </c>
      <c r="G19" s="14" t="s">
        <v>38</v>
      </c>
      <c r="H19" s="47">
        <v>9323</v>
      </c>
      <c r="I19" s="14" t="s">
        <v>74</v>
      </c>
      <c r="J19" s="21"/>
      <c r="K19" s="19">
        <v>44317</v>
      </c>
      <c r="L19" s="19">
        <v>46326</v>
      </c>
      <c r="M19" s="19"/>
      <c r="N19" s="14">
        <v>66</v>
      </c>
      <c r="O19" s="22">
        <v>18</v>
      </c>
      <c r="P19" s="10">
        <v>11.18</v>
      </c>
      <c r="Q19" s="10">
        <f t="shared" si="0"/>
        <v>29.18</v>
      </c>
      <c r="R19" s="15">
        <v>0.5</v>
      </c>
      <c r="S19" s="12">
        <v>25</v>
      </c>
      <c r="T19" s="10">
        <f t="shared" si="1"/>
        <v>4.5454545454545459</v>
      </c>
      <c r="U19" s="26">
        <v>6</v>
      </c>
      <c r="V19" s="14" t="s">
        <v>40</v>
      </c>
      <c r="W19" s="15">
        <f t="shared" si="2"/>
        <v>14.59</v>
      </c>
      <c r="X19" s="16">
        <f t="shared" si="3"/>
        <v>1.0909090909090908</v>
      </c>
      <c r="Y19" s="15">
        <f t="shared" si="4"/>
        <v>2.6527272727272728</v>
      </c>
      <c r="Z19" s="12">
        <f>W19+S19</f>
        <v>39.590000000000003</v>
      </c>
      <c r="AA19" s="15">
        <f t="shared" si="5"/>
        <v>7.1981818181818191</v>
      </c>
      <c r="AB19" s="23" t="s">
        <v>1259</v>
      </c>
      <c r="AC19" s="14" t="s">
        <v>91</v>
      </c>
      <c r="AD19" s="14" t="s">
        <v>92</v>
      </c>
      <c r="AF19" s="14" t="s">
        <v>429</v>
      </c>
    </row>
    <row r="20" spans="1:33" s="14" customFormat="1" ht="43.2" x14ac:dyDescent="0.3">
      <c r="A20" s="19">
        <v>44147</v>
      </c>
      <c r="B20" s="14" t="s">
        <v>875</v>
      </c>
      <c r="D20" s="14" t="s">
        <v>876</v>
      </c>
      <c r="E20" s="14" t="s">
        <v>184</v>
      </c>
      <c r="F20" s="14" t="s">
        <v>37</v>
      </c>
      <c r="G20" s="14" t="s">
        <v>38</v>
      </c>
      <c r="H20" s="20">
        <v>5652</v>
      </c>
      <c r="I20" s="14" t="s">
        <v>74</v>
      </c>
      <c r="J20" s="21"/>
      <c r="K20" s="19">
        <v>43983</v>
      </c>
      <c r="L20" s="19">
        <v>45961</v>
      </c>
      <c r="M20" s="19"/>
      <c r="N20" s="14">
        <v>65</v>
      </c>
      <c r="O20" s="22">
        <v>13.04</v>
      </c>
      <c r="P20" s="10">
        <v>10.96</v>
      </c>
      <c r="Q20" s="10">
        <f t="shared" si="0"/>
        <v>24</v>
      </c>
      <c r="R20" s="15">
        <v>0.5</v>
      </c>
      <c r="S20" s="12">
        <v>20</v>
      </c>
      <c r="T20" s="10">
        <f t="shared" si="1"/>
        <v>3.6923076923076921</v>
      </c>
      <c r="U20" s="26">
        <v>5</v>
      </c>
      <c r="V20" s="14" t="s">
        <v>40</v>
      </c>
      <c r="W20" s="15">
        <f t="shared" si="2"/>
        <v>10</v>
      </c>
      <c r="X20" s="16">
        <f t="shared" si="3"/>
        <v>0.92307692307692302</v>
      </c>
      <c r="Y20" s="15">
        <f t="shared" si="4"/>
        <v>1.846153846153846</v>
      </c>
      <c r="Z20" s="12">
        <f>W20+S20</f>
        <v>30</v>
      </c>
      <c r="AA20" s="15">
        <f t="shared" si="5"/>
        <v>5.5384615384615383</v>
      </c>
      <c r="AB20" s="49">
        <f>AA20/O20</f>
        <v>0.42472864558754131</v>
      </c>
      <c r="AC20" s="14" t="s">
        <v>185</v>
      </c>
      <c r="AD20" s="8" t="s">
        <v>91</v>
      </c>
      <c r="AE20" s="14" t="s">
        <v>598</v>
      </c>
      <c r="AF20" s="14" t="s">
        <v>877</v>
      </c>
      <c r="AG20" s="14" t="s">
        <v>58</v>
      </c>
    </row>
    <row r="21" spans="1:33" s="14" customFormat="1" ht="28.8" x14ac:dyDescent="0.3">
      <c r="A21" s="19">
        <v>44117</v>
      </c>
      <c r="B21" s="14" t="s">
        <v>1270</v>
      </c>
      <c r="D21" s="14" t="s">
        <v>1183</v>
      </c>
      <c r="E21" s="14" t="s">
        <v>62</v>
      </c>
      <c r="F21" s="14" t="s">
        <v>63</v>
      </c>
      <c r="G21" s="14" t="s">
        <v>64</v>
      </c>
      <c r="H21" s="47">
        <v>3831</v>
      </c>
      <c r="I21" s="14" t="s">
        <v>39</v>
      </c>
      <c r="J21" s="21"/>
      <c r="K21" s="19">
        <v>43831</v>
      </c>
      <c r="L21" s="19">
        <v>46477</v>
      </c>
      <c r="M21" s="19"/>
      <c r="N21" s="14">
        <v>87</v>
      </c>
      <c r="O21" s="22">
        <v>19</v>
      </c>
      <c r="P21" s="10">
        <v>10.94</v>
      </c>
      <c r="Q21" s="10">
        <f t="shared" si="0"/>
        <v>29.939999999999998</v>
      </c>
      <c r="R21" s="15">
        <v>0.5</v>
      </c>
      <c r="S21" s="12">
        <v>65</v>
      </c>
      <c r="T21" s="10">
        <f t="shared" si="1"/>
        <v>8.9655172413793096</v>
      </c>
      <c r="U21" s="26">
        <v>3</v>
      </c>
      <c r="V21" s="14" t="s">
        <v>40</v>
      </c>
      <c r="W21" s="15">
        <f t="shared" si="2"/>
        <v>7.4849999999999994</v>
      </c>
      <c r="X21" s="16">
        <f t="shared" si="3"/>
        <v>0.41379310344827586</v>
      </c>
      <c r="Y21" s="15">
        <f t="shared" si="4"/>
        <v>1.0324137931034483</v>
      </c>
      <c r="Z21" s="12">
        <f>S21+W21</f>
        <v>72.484999999999999</v>
      </c>
      <c r="AA21" s="15">
        <f t="shared" si="5"/>
        <v>9.9979310344827592</v>
      </c>
      <c r="AB21" s="23" t="s">
        <v>213</v>
      </c>
      <c r="AC21" s="14" t="s">
        <v>538</v>
      </c>
      <c r="AD21" s="14" t="s">
        <v>1271</v>
      </c>
      <c r="AE21" s="14" t="s">
        <v>897</v>
      </c>
      <c r="AF21" s="14" t="s">
        <v>490</v>
      </c>
    </row>
    <row r="22" spans="1:33" s="14" customFormat="1" ht="28.8" x14ac:dyDescent="0.3">
      <c r="A22" s="19">
        <v>44089</v>
      </c>
      <c r="B22" s="14" t="s">
        <v>1254</v>
      </c>
      <c r="C22" s="14" t="s">
        <v>175</v>
      </c>
      <c r="D22" s="14" t="s">
        <v>1222</v>
      </c>
      <c r="E22" s="14" t="s">
        <v>62</v>
      </c>
      <c r="F22" s="14" t="s">
        <v>63</v>
      </c>
      <c r="G22" s="14" t="s">
        <v>64</v>
      </c>
      <c r="H22" s="47">
        <v>12909</v>
      </c>
      <c r="I22" s="14" t="s">
        <v>291</v>
      </c>
      <c r="J22" s="21"/>
      <c r="K22" s="19">
        <v>43952</v>
      </c>
      <c r="L22" s="19">
        <v>46022</v>
      </c>
      <c r="M22" s="19"/>
      <c r="N22" s="14">
        <v>68</v>
      </c>
      <c r="O22" s="22">
        <v>15</v>
      </c>
      <c r="P22" s="10">
        <v>13.23</v>
      </c>
      <c r="Q22" s="10">
        <f t="shared" si="0"/>
        <v>28.23</v>
      </c>
      <c r="R22" s="11">
        <v>0.03</v>
      </c>
      <c r="S22" s="12">
        <v>25</v>
      </c>
      <c r="T22" s="10">
        <f t="shared" si="1"/>
        <v>4.4117647058823524</v>
      </c>
      <c r="U22" s="26">
        <v>10</v>
      </c>
      <c r="V22" s="14" t="s">
        <v>40</v>
      </c>
      <c r="W22" s="15">
        <f t="shared" si="2"/>
        <v>23.525000000000002</v>
      </c>
      <c r="X22" s="16">
        <f t="shared" si="3"/>
        <v>1.7647058823529411</v>
      </c>
      <c r="Y22" s="15">
        <f t="shared" si="4"/>
        <v>4.151470588235294</v>
      </c>
      <c r="Z22" s="12">
        <f>S22+W22</f>
        <v>48.525000000000006</v>
      </c>
      <c r="AA22" s="15">
        <f t="shared" si="5"/>
        <v>8.5632352941176482</v>
      </c>
      <c r="AB22" s="23" t="s">
        <v>178</v>
      </c>
      <c r="AC22" s="14" t="s">
        <v>1255</v>
      </c>
      <c r="AD22" s="14" t="s">
        <v>803</v>
      </c>
      <c r="AE22" s="14" t="s">
        <v>1256</v>
      </c>
      <c r="AF22" s="14" t="s">
        <v>1223</v>
      </c>
    </row>
    <row r="23" spans="1:33" s="14" customFormat="1" ht="28.8" x14ac:dyDescent="0.3">
      <c r="A23" s="19">
        <v>43951</v>
      </c>
      <c r="B23" s="14" t="s">
        <v>1196</v>
      </c>
      <c r="C23" s="14" t="s">
        <v>950</v>
      </c>
      <c r="D23" s="14" t="s">
        <v>951</v>
      </c>
      <c r="E23" s="14" t="s">
        <v>135</v>
      </c>
      <c r="F23" s="14" t="s">
        <v>90</v>
      </c>
      <c r="G23" s="14" t="s">
        <v>64</v>
      </c>
      <c r="H23" s="47">
        <v>34668</v>
      </c>
      <c r="I23" s="14" t="s">
        <v>74</v>
      </c>
      <c r="J23" s="21"/>
      <c r="K23" s="19">
        <v>44166</v>
      </c>
      <c r="L23" s="19">
        <v>45350</v>
      </c>
      <c r="M23" s="19"/>
      <c r="N23" s="14">
        <v>39</v>
      </c>
      <c r="O23" s="22">
        <v>14</v>
      </c>
      <c r="P23" s="10">
        <v>12.49</v>
      </c>
      <c r="Q23" s="10">
        <f t="shared" si="0"/>
        <v>26.490000000000002</v>
      </c>
      <c r="R23" s="15">
        <v>0.5</v>
      </c>
      <c r="S23" s="12">
        <v>0</v>
      </c>
      <c r="T23" s="10">
        <f t="shared" si="1"/>
        <v>0</v>
      </c>
      <c r="U23" s="26">
        <v>3</v>
      </c>
      <c r="V23" s="14" t="s">
        <v>40</v>
      </c>
      <c r="W23" s="15">
        <f t="shared" si="2"/>
        <v>6.6225000000000005</v>
      </c>
      <c r="X23" s="16">
        <f t="shared" si="3"/>
        <v>0.92307692307692313</v>
      </c>
      <c r="Y23" s="15">
        <f t="shared" si="4"/>
        <v>2.0376923076923079</v>
      </c>
      <c r="Z23" s="12">
        <f>W23+S23</f>
        <v>6.6225000000000005</v>
      </c>
      <c r="AA23" s="15">
        <f t="shared" si="5"/>
        <v>2.0376923076923079</v>
      </c>
      <c r="AB23" s="23" t="s">
        <v>952</v>
      </c>
      <c r="AC23" s="14" t="s">
        <v>91</v>
      </c>
      <c r="AD23" s="14" t="s">
        <v>560</v>
      </c>
      <c r="AF23" s="14" t="s">
        <v>1197</v>
      </c>
    </row>
    <row r="24" spans="1:33" s="14" customFormat="1" x14ac:dyDescent="0.3">
      <c r="A24" s="19">
        <v>43951</v>
      </c>
      <c r="B24" s="14" t="s">
        <v>1248</v>
      </c>
      <c r="C24" s="14" t="s">
        <v>1068</v>
      </c>
      <c r="D24" s="14" t="s">
        <v>1249</v>
      </c>
      <c r="E24" s="14" t="s">
        <v>239</v>
      </c>
      <c r="F24" s="14" t="s">
        <v>37</v>
      </c>
      <c r="G24" s="14" t="s">
        <v>38</v>
      </c>
      <c r="H24" s="47">
        <v>36309</v>
      </c>
      <c r="I24" s="14" t="s">
        <v>39</v>
      </c>
      <c r="J24" s="21">
        <v>43739</v>
      </c>
      <c r="K24" s="19">
        <v>44287</v>
      </c>
      <c r="L24" s="19">
        <v>45382</v>
      </c>
      <c r="M24" s="19"/>
      <c r="N24" s="14">
        <v>36</v>
      </c>
      <c r="O24" s="22">
        <v>15</v>
      </c>
      <c r="P24" s="10">
        <v>8.56</v>
      </c>
      <c r="Q24" s="10">
        <f t="shared" si="0"/>
        <v>23.560000000000002</v>
      </c>
      <c r="R24" s="15">
        <v>0.5</v>
      </c>
      <c r="S24" s="12">
        <v>0</v>
      </c>
      <c r="T24" s="10">
        <f t="shared" si="1"/>
        <v>0</v>
      </c>
      <c r="U24" s="13">
        <v>0</v>
      </c>
      <c r="W24" s="15">
        <f t="shared" si="2"/>
        <v>0</v>
      </c>
      <c r="X24" s="16">
        <f t="shared" si="3"/>
        <v>0</v>
      </c>
      <c r="Y24" s="15">
        <f t="shared" si="4"/>
        <v>0</v>
      </c>
      <c r="Z24" s="12">
        <f>S24+W24</f>
        <v>0</v>
      </c>
      <c r="AA24" s="15">
        <f t="shared" si="5"/>
        <v>0</v>
      </c>
      <c r="AB24" s="23" t="s">
        <v>1250</v>
      </c>
      <c r="AC24" s="14" t="s">
        <v>91</v>
      </c>
      <c r="AD24" s="14" t="s">
        <v>92</v>
      </c>
      <c r="AF24" s="14" t="s">
        <v>1010</v>
      </c>
      <c r="AG24" s="48"/>
    </row>
    <row r="25" spans="1:33" s="14" customFormat="1" ht="28.8" x14ac:dyDescent="0.3">
      <c r="A25" s="19">
        <v>43951</v>
      </c>
      <c r="B25" s="14" t="s">
        <v>1199</v>
      </c>
      <c r="C25" s="14" t="s">
        <v>1200</v>
      </c>
      <c r="D25" s="14" t="s">
        <v>1201</v>
      </c>
      <c r="E25" s="14" t="s">
        <v>986</v>
      </c>
      <c r="F25" s="14" t="s">
        <v>63</v>
      </c>
      <c r="G25" s="14" t="s">
        <v>64</v>
      </c>
      <c r="H25" s="47">
        <v>7269</v>
      </c>
      <c r="I25" s="14" t="s">
        <v>74</v>
      </c>
      <c r="J25" s="21">
        <v>43466</v>
      </c>
      <c r="K25" s="19">
        <v>43466</v>
      </c>
      <c r="L25" s="19">
        <v>45473</v>
      </c>
      <c r="M25" s="19"/>
      <c r="N25" s="14">
        <v>66</v>
      </c>
      <c r="O25" s="22">
        <v>13.42</v>
      </c>
      <c r="P25" s="10">
        <v>4.58</v>
      </c>
      <c r="Q25" s="10">
        <f t="shared" si="0"/>
        <v>18</v>
      </c>
      <c r="R25" s="15">
        <v>0.5</v>
      </c>
      <c r="S25" s="12">
        <v>55</v>
      </c>
      <c r="T25" s="10">
        <f t="shared" si="1"/>
        <v>10</v>
      </c>
      <c r="U25" s="26">
        <v>6</v>
      </c>
      <c r="V25" s="14" t="s">
        <v>169</v>
      </c>
      <c r="W25" s="15">
        <f t="shared" si="2"/>
        <v>9</v>
      </c>
      <c r="X25" s="16">
        <f t="shared" si="3"/>
        <v>1.0909090909090908</v>
      </c>
      <c r="Y25" s="15">
        <f t="shared" si="4"/>
        <v>1.6363636363636365</v>
      </c>
      <c r="Z25" s="12">
        <f>W25+S25</f>
        <v>64</v>
      </c>
      <c r="AA25" s="15">
        <f t="shared" si="5"/>
        <v>11.636363636363637</v>
      </c>
      <c r="AB25" s="23" t="s">
        <v>1202</v>
      </c>
    </row>
    <row r="26" spans="1:33" s="14" customFormat="1" ht="28.8" x14ac:dyDescent="0.3">
      <c r="A26" s="19">
        <v>43951</v>
      </c>
      <c r="B26" s="14" t="s">
        <v>1173</v>
      </c>
      <c r="C26" s="14" t="s">
        <v>741</v>
      </c>
      <c r="D26" s="14" t="s">
        <v>1174</v>
      </c>
      <c r="E26" s="14" t="s">
        <v>62</v>
      </c>
      <c r="F26" s="14" t="s">
        <v>63</v>
      </c>
      <c r="G26" s="14" t="s">
        <v>64</v>
      </c>
      <c r="H26" s="47">
        <v>6185</v>
      </c>
      <c r="I26" s="14" t="s">
        <v>74</v>
      </c>
      <c r="J26" s="21">
        <v>43282</v>
      </c>
      <c r="K26" s="19">
        <v>43573</v>
      </c>
      <c r="L26" s="19">
        <v>45490</v>
      </c>
      <c r="M26" s="19"/>
      <c r="N26" s="14">
        <v>63</v>
      </c>
      <c r="O26" s="22">
        <v>14.25</v>
      </c>
      <c r="P26" s="10">
        <v>12.41</v>
      </c>
      <c r="Q26" s="10">
        <f t="shared" si="0"/>
        <v>26.66</v>
      </c>
      <c r="R26" s="15">
        <v>0.5</v>
      </c>
      <c r="S26" s="12">
        <v>0</v>
      </c>
      <c r="T26" s="10">
        <f t="shared" si="1"/>
        <v>0</v>
      </c>
      <c r="U26" s="26">
        <v>3</v>
      </c>
      <c r="V26" s="14" t="s">
        <v>40</v>
      </c>
      <c r="W26" s="15">
        <f t="shared" si="2"/>
        <v>6.665</v>
      </c>
      <c r="X26" s="16">
        <f t="shared" si="3"/>
        <v>0.5714285714285714</v>
      </c>
      <c r="Y26" s="15">
        <f t="shared" si="4"/>
        <v>1.2695238095238095</v>
      </c>
      <c r="Z26" s="12">
        <f>W26+S26</f>
        <v>6.665</v>
      </c>
      <c r="AA26" s="15">
        <f t="shared" si="5"/>
        <v>1.2695238095238095</v>
      </c>
      <c r="AB26" s="23" t="s">
        <v>1175</v>
      </c>
      <c r="AC26" s="14" t="s">
        <v>1176</v>
      </c>
      <c r="AD26" s="14" t="s">
        <v>1177</v>
      </c>
    </row>
    <row r="27" spans="1:33" s="14" customFormat="1" ht="28.8" x14ac:dyDescent="0.3">
      <c r="A27" s="19">
        <v>43951</v>
      </c>
      <c r="B27" s="14" t="s">
        <v>1173</v>
      </c>
      <c r="C27" s="14" t="s">
        <v>741</v>
      </c>
      <c r="D27" s="14" t="s">
        <v>1174</v>
      </c>
      <c r="E27" s="14" t="s">
        <v>62</v>
      </c>
      <c r="F27" s="14" t="s">
        <v>63</v>
      </c>
      <c r="G27" s="14" t="s">
        <v>64</v>
      </c>
      <c r="H27" s="47">
        <v>14820</v>
      </c>
      <c r="I27" s="14" t="s">
        <v>74</v>
      </c>
      <c r="J27" s="21">
        <v>43282</v>
      </c>
      <c r="K27" s="19">
        <v>43573</v>
      </c>
      <c r="L27" s="19">
        <v>45490</v>
      </c>
      <c r="M27" s="19"/>
      <c r="N27" s="14">
        <v>63</v>
      </c>
      <c r="O27" s="22">
        <v>14.25</v>
      </c>
      <c r="P27" s="10">
        <v>12.41</v>
      </c>
      <c r="Q27" s="10">
        <f t="shared" si="0"/>
        <v>26.66</v>
      </c>
      <c r="R27" s="15">
        <v>0.5</v>
      </c>
      <c r="S27" s="12">
        <v>0</v>
      </c>
      <c r="T27" s="10">
        <f t="shared" si="1"/>
        <v>0</v>
      </c>
      <c r="U27" s="26">
        <v>3</v>
      </c>
      <c r="V27" s="14" t="s">
        <v>40</v>
      </c>
      <c r="W27" s="15">
        <f t="shared" si="2"/>
        <v>6.665</v>
      </c>
      <c r="X27" s="16">
        <f t="shared" si="3"/>
        <v>0.5714285714285714</v>
      </c>
      <c r="Y27" s="15">
        <f t="shared" si="4"/>
        <v>1.2695238095238095</v>
      </c>
      <c r="Z27" s="12">
        <f>S27+W27</f>
        <v>6.665</v>
      </c>
      <c r="AA27" s="15">
        <f t="shared" si="5"/>
        <v>1.2695238095238095</v>
      </c>
      <c r="AB27" s="23" t="s">
        <v>1175</v>
      </c>
      <c r="AC27" s="14" t="s">
        <v>1176</v>
      </c>
      <c r="AD27" s="14" t="s">
        <v>1177</v>
      </c>
    </row>
    <row r="28" spans="1:33" s="14" customFormat="1" ht="28.8" x14ac:dyDescent="0.3">
      <c r="A28" s="19">
        <v>43951</v>
      </c>
      <c r="B28" s="14" t="s">
        <v>1229</v>
      </c>
      <c r="C28" s="14" t="s">
        <v>77</v>
      </c>
      <c r="D28" s="14" t="s">
        <v>1230</v>
      </c>
      <c r="E28" s="14" t="s">
        <v>79</v>
      </c>
      <c r="F28" s="14" t="s">
        <v>37</v>
      </c>
      <c r="G28" s="14" t="s">
        <v>38</v>
      </c>
      <c r="H28" s="47">
        <v>26130</v>
      </c>
      <c r="I28" s="14" t="s">
        <v>291</v>
      </c>
      <c r="J28" s="21"/>
      <c r="K28" s="19">
        <v>43647</v>
      </c>
      <c r="L28" s="19">
        <v>45504</v>
      </c>
      <c r="M28" s="19"/>
      <c r="N28" s="14">
        <v>61</v>
      </c>
      <c r="O28" s="22">
        <v>18.309999999999999</v>
      </c>
      <c r="P28" s="10">
        <v>7.71</v>
      </c>
      <c r="Q28" s="10">
        <f t="shared" si="0"/>
        <v>26.02</v>
      </c>
      <c r="R28" s="15">
        <v>0.5</v>
      </c>
      <c r="S28" s="12">
        <v>15</v>
      </c>
      <c r="T28" s="10">
        <f t="shared" si="1"/>
        <v>2.9508196721311477</v>
      </c>
      <c r="U28" s="26">
        <v>4</v>
      </c>
      <c r="V28" s="14" t="s">
        <v>40</v>
      </c>
      <c r="W28" s="15">
        <f t="shared" si="2"/>
        <v>8.673333333333332</v>
      </c>
      <c r="X28" s="16">
        <f t="shared" si="3"/>
        <v>0.78688524590163944</v>
      </c>
      <c r="Y28" s="15">
        <f t="shared" si="4"/>
        <v>1.7062295081967211</v>
      </c>
      <c r="Z28" s="12">
        <f>S28+W28</f>
        <v>23.673333333333332</v>
      </c>
      <c r="AA28" s="15">
        <f t="shared" si="5"/>
        <v>4.6570491803278689</v>
      </c>
      <c r="AB28" s="23" t="s">
        <v>1231</v>
      </c>
      <c r="AC28" s="14" t="s">
        <v>91</v>
      </c>
      <c r="AD28" s="14" t="s">
        <v>116</v>
      </c>
      <c r="AE28" s="14" t="s">
        <v>1232</v>
      </c>
      <c r="AF28" s="14" t="s">
        <v>441</v>
      </c>
    </row>
    <row r="29" spans="1:33" s="14" customFormat="1" ht="28.8" x14ac:dyDescent="0.3">
      <c r="A29" s="19">
        <v>43951</v>
      </c>
      <c r="B29" s="14" t="s">
        <v>1243</v>
      </c>
      <c r="C29" s="14" t="s">
        <v>1244</v>
      </c>
      <c r="D29" s="14" t="s">
        <v>1245</v>
      </c>
      <c r="E29" s="14" t="s">
        <v>336</v>
      </c>
      <c r="F29" s="14" t="s">
        <v>63</v>
      </c>
      <c r="G29" s="14" t="s">
        <v>64</v>
      </c>
      <c r="H29" s="47">
        <v>8531</v>
      </c>
      <c r="I29" s="14" t="s">
        <v>74</v>
      </c>
      <c r="J29" s="21">
        <v>43466</v>
      </c>
      <c r="K29" s="19">
        <v>43556</v>
      </c>
      <c r="L29" s="19">
        <v>45535</v>
      </c>
      <c r="M29" s="19"/>
      <c r="N29" s="14">
        <v>65</v>
      </c>
      <c r="O29" s="22">
        <v>12.5</v>
      </c>
      <c r="P29" s="10">
        <v>9.1300000000000008</v>
      </c>
      <c r="Q29" s="10">
        <f t="shared" si="0"/>
        <v>21.630000000000003</v>
      </c>
      <c r="R29" s="11">
        <v>0.03</v>
      </c>
      <c r="S29" s="12">
        <v>30</v>
      </c>
      <c r="T29" s="10">
        <f t="shared" si="1"/>
        <v>5.5384615384615383</v>
      </c>
      <c r="U29" s="23">
        <v>5</v>
      </c>
      <c r="V29" s="14" t="s">
        <v>40</v>
      </c>
      <c r="W29" s="15">
        <f t="shared" si="2"/>
        <v>9.0125000000000011</v>
      </c>
      <c r="X29" s="16">
        <f t="shared" si="3"/>
        <v>0.92307692307692302</v>
      </c>
      <c r="Y29" s="15">
        <f t="shared" si="4"/>
        <v>1.663846153846154</v>
      </c>
      <c r="Z29" s="12">
        <f>W29+S29</f>
        <v>39.012500000000003</v>
      </c>
      <c r="AA29" s="15">
        <f t="shared" si="5"/>
        <v>7.2023076923076923</v>
      </c>
      <c r="AB29" s="23" t="s">
        <v>1246</v>
      </c>
      <c r="AC29" s="14" t="s">
        <v>91</v>
      </c>
      <c r="AD29" s="14" t="s">
        <v>266</v>
      </c>
      <c r="AE29" s="14" t="s">
        <v>1247</v>
      </c>
      <c r="AF29" s="14" t="s">
        <v>493</v>
      </c>
      <c r="AG29" s="8"/>
    </row>
    <row r="30" spans="1:33" s="48" customFormat="1" x14ac:dyDescent="0.3">
      <c r="A30" s="19">
        <v>43951</v>
      </c>
      <c r="B30" s="14" t="s">
        <v>1213</v>
      </c>
      <c r="C30" s="14" t="s">
        <v>428</v>
      </c>
      <c r="D30" s="14" t="s">
        <v>1214</v>
      </c>
      <c r="E30" s="14" t="s">
        <v>89</v>
      </c>
      <c r="F30" s="14" t="s">
        <v>90</v>
      </c>
      <c r="G30" s="14" t="s">
        <v>64</v>
      </c>
      <c r="H30" s="47">
        <v>3516</v>
      </c>
      <c r="I30" s="14" t="s">
        <v>74</v>
      </c>
      <c r="J30" s="21">
        <v>43525</v>
      </c>
      <c r="K30" s="19">
        <v>43586</v>
      </c>
      <c r="L30" s="19">
        <v>45565</v>
      </c>
      <c r="M30" s="19"/>
      <c r="N30" s="14">
        <v>65</v>
      </c>
      <c r="O30" s="22">
        <v>16.25</v>
      </c>
      <c r="P30" s="10">
        <v>12.99</v>
      </c>
      <c r="Q30" s="10">
        <f t="shared" si="0"/>
        <v>29.240000000000002</v>
      </c>
      <c r="R30" s="15">
        <v>0.5</v>
      </c>
      <c r="S30" s="12">
        <v>60</v>
      </c>
      <c r="T30" s="10">
        <f t="shared" si="1"/>
        <v>11.076923076923077</v>
      </c>
      <c r="U30" s="13">
        <v>0</v>
      </c>
      <c r="V30" s="14"/>
      <c r="W30" s="15">
        <f t="shared" si="2"/>
        <v>0</v>
      </c>
      <c r="X30" s="16">
        <f t="shared" si="3"/>
        <v>0</v>
      </c>
      <c r="Y30" s="15">
        <f t="shared" si="4"/>
        <v>0</v>
      </c>
      <c r="Z30" s="12">
        <f>W30+S30</f>
        <v>60</v>
      </c>
      <c r="AA30" s="15">
        <f t="shared" si="5"/>
        <v>11.076923076923077</v>
      </c>
      <c r="AB30" s="23" t="s">
        <v>999</v>
      </c>
      <c r="AC30" s="14" t="s">
        <v>91</v>
      </c>
      <c r="AD30" s="14" t="s">
        <v>92</v>
      </c>
      <c r="AE30" s="14" t="s">
        <v>897</v>
      </c>
      <c r="AF30" s="14" t="s">
        <v>1215</v>
      </c>
      <c r="AG30" s="14"/>
    </row>
    <row r="31" spans="1:33" s="14" customFormat="1" ht="28.8" x14ac:dyDescent="0.3">
      <c r="A31" s="19">
        <v>43951</v>
      </c>
      <c r="B31" s="14" t="s">
        <v>1216</v>
      </c>
      <c r="C31" s="14" t="s">
        <v>1217</v>
      </c>
      <c r="D31" s="14" t="s">
        <v>1218</v>
      </c>
      <c r="E31" s="14" t="s">
        <v>336</v>
      </c>
      <c r="F31" s="14" t="s">
        <v>63</v>
      </c>
      <c r="G31" s="14" t="s">
        <v>64</v>
      </c>
      <c r="H31" s="47">
        <v>6346</v>
      </c>
      <c r="I31" s="14" t="s">
        <v>39</v>
      </c>
      <c r="J31" s="21">
        <v>43497</v>
      </c>
      <c r="K31" s="19">
        <v>43600</v>
      </c>
      <c r="L31" s="19">
        <v>45579</v>
      </c>
      <c r="M31" s="19"/>
      <c r="N31" s="14">
        <v>65</v>
      </c>
      <c r="O31" s="22">
        <v>20.5</v>
      </c>
      <c r="P31" s="10">
        <v>7.91</v>
      </c>
      <c r="Q31" s="10">
        <f t="shared" si="0"/>
        <v>28.41</v>
      </c>
      <c r="R31" s="15">
        <v>0</v>
      </c>
      <c r="S31" s="12">
        <v>35</v>
      </c>
      <c r="T31" s="10">
        <f t="shared" si="1"/>
        <v>6.4615384615384608</v>
      </c>
      <c r="U31" s="26">
        <v>5</v>
      </c>
      <c r="V31" s="14" t="s">
        <v>40</v>
      </c>
      <c r="W31" s="15">
        <f t="shared" si="2"/>
        <v>11.8375</v>
      </c>
      <c r="X31" s="16">
        <f t="shared" si="3"/>
        <v>0.92307692307692302</v>
      </c>
      <c r="Y31" s="15">
        <f t="shared" si="4"/>
        <v>2.1853846153846153</v>
      </c>
      <c r="Z31" s="12">
        <f>S31+W31</f>
        <v>46.837499999999999</v>
      </c>
      <c r="AA31" s="15">
        <f t="shared" si="5"/>
        <v>8.6469230769230769</v>
      </c>
      <c r="AB31" s="23" t="s">
        <v>1219</v>
      </c>
      <c r="AC31" s="14" t="s">
        <v>91</v>
      </c>
      <c r="AD31" s="14" t="s">
        <v>449</v>
      </c>
      <c r="AF31" s="14" t="s">
        <v>1220</v>
      </c>
    </row>
    <row r="32" spans="1:33" s="14" customFormat="1" ht="28.8" x14ac:dyDescent="0.3">
      <c r="A32" s="19">
        <v>43951</v>
      </c>
      <c r="B32" s="14" t="s">
        <v>1193</v>
      </c>
      <c r="C32" s="14" t="s">
        <v>618</v>
      </c>
      <c r="D32" s="14" t="s">
        <v>1194</v>
      </c>
      <c r="E32" s="14" t="s">
        <v>103</v>
      </c>
      <c r="F32" s="14" t="s">
        <v>37</v>
      </c>
      <c r="G32" s="14" t="s">
        <v>38</v>
      </c>
      <c r="H32" s="47">
        <v>6932</v>
      </c>
      <c r="I32" s="14" t="s">
        <v>39</v>
      </c>
      <c r="J32" s="21"/>
      <c r="K32" s="19">
        <v>43556</v>
      </c>
      <c r="L32" s="19">
        <v>45626</v>
      </c>
      <c r="M32" s="19"/>
      <c r="N32" s="14">
        <v>68</v>
      </c>
      <c r="O32" s="22">
        <v>17.75</v>
      </c>
      <c r="P32" s="10">
        <v>12.32</v>
      </c>
      <c r="Q32" s="10">
        <f t="shared" si="0"/>
        <v>30.07</v>
      </c>
      <c r="R32" s="15">
        <v>0.5</v>
      </c>
      <c r="S32" s="12">
        <v>0</v>
      </c>
      <c r="T32" s="10">
        <f t="shared" si="1"/>
        <v>0</v>
      </c>
      <c r="U32" s="26">
        <v>5</v>
      </c>
      <c r="V32" s="14" t="s">
        <v>169</v>
      </c>
      <c r="W32" s="15">
        <f t="shared" si="2"/>
        <v>12.529166666666667</v>
      </c>
      <c r="X32" s="16">
        <f t="shared" si="3"/>
        <v>0.88235294117647056</v>
      </c>
      <c r="Y32" s="15">
        <f t="shared" si="4"/>
        <v>2.2110294117647058</v>
      </c>
      <c r="Z32" s="12">
        <f>W32+S32</f>
        <v>12.529166666666667</v>
      </c>
      <c r="AA32" s="15">
        <f t="shared" si="5"/>
        <v>2.2110294117647058</v>
      </c>
      <c r="AB32" s="23" t="s">
        <v>620</v>
      </c>
      <c r="AC32" s="14" t="s">
        <v>91</v>
      </c>
      <c r="AD32" s="14" t="s">
        <v>116</v>
      </c>
      <c r="AE32" s="14" t="s">
        <v>1195</v>
      </c>
      <c r="AF32" s="14" t="s">
        <v>441</v>
      </c>
    </row>
    <row r="33" spans="1:33" s="8" customFormat="1" ht="28.8" x14ac:dyDescent="0.3">
      <c r="A33" s="19">
        <v>43951</v>
      </c>
      <c r="B33" s="14" t="s">
        <v>1236</v>
      </c>
      <c r="C33" s="14" t="s">
        <v>853</v>
      </c>
      <c r="D33" s="14" t="s">
        <v>1237</v>
      </c>
      <c r="E33" s="14" t="s">
        <v>62</v>
      </c>
      <c r="F33" s="14" t="s">
        <v>63</v>
      </c>
      <c r="G33" s="14" t="s">
        <v>64</v>
      </c>
      <c r="H33" s="47">
        <v>8127</v>
      </c>
      <c r="I33" s="14" t="s">
        <v>39</v>
      </c>
      <c r="J33" s="21">
        <v>43678</v>
      </c>
      <c r="K33" s="19">
        <v>43845</v>
      </c>
      <c r="L33" s="19">
        <v>45657</v>
      </c>
      <c r="M33" s="19"/>
      <c r="N33" s="14">
        <v>60</v>
      </c>
      <c r="O33" s="22">
        <v>16.5</v>
      </c>
      <c r="P33" s="10">
        <v>16.68</v>
      </c>
      <c r="Q33" s="10">
        <f t="shared" si="0"/>
        <v>33.18</v>
      </c>
      <c r="R33" s="15">
        <v>0.5</v>
      </c>
      <c r="S33" s="12">
        <v>45</v>
      </c>
      <c r="T33" s="10">
        <f t="shared" si="1"/>
        <v>9</v>
      </c>
      <c r="U33" s="13">
        <v>0</v>
      </c>
      <c r="V33" s="14"/>
      <c r="W33" s="15">
        <f t="shared" si="2"/>
        <v>0</v>
      </c>
      <c r="X33" s="16">
        <f t="shared" si="3"/>
        <v>0</v>
      </c>
      <c r="Y33" s="15">
        <f t="shared" si="4"/>
        <v>0</v>
      </c>
      <c r="Z33" s="12">
        <f>W33+S33</f>
        <v>45</v>
      </c>
      <c r="AA33" s="15">
        <f t="shared" si="5"/>
        <v>9</v>
      </c>
      <c r="AB33" s="23" t="s">
        <v>833</v>
      </c>
      <c r="AC33" s="14" t="s">
        <v>91</v>
      </c>
      <c r="AD33" s="14" t="s">
        <v>116</v>
      </c>
      <c r="AE33" s="14" t="s">
        <v>1238</v>
      </c>
      <c r="AF33" s="14" t="s">
        <v>936</v>
      </c>
      <c r="AG33" s="48"/>
    </row>
    <row r="34" spans="1:33" s="48" customFormat="1" ht="28.8" x14ac:dyDescent="0.3">
      <c r="A34" s="19">
        <v>43951</v>
      </c>
      <c r="B34" s="14" t="s">
        <v>1241</v>
      </c>
      <c r="C34" s="14" t="s">
        <v>128</v>
      </c>
      <c r="D34" s="14" t="s">
        <v>1242</v>
      </c>
      <c r="E34" s="14" t="s">
        <v>103</v>
      </c>
      <c r="F34" s="14" t="s">
        <v>37</v>
      </c>
      <c r="G34" s="14" t="s">
        <v>38</v>
      </c>
      <c r="H34" s="47">
        <v>6275</v>
      </c>
      <c r="I34" s="14" t="s">
        <v>39</v>
      </c>
      <c r="J34" s="21"/>
      <c r="K34" s="19">
        <v>43678</v>
      </c>
      <c r="L34" s="19">
        <v>45657</v>
      </c>
      <c r="M34" s="19"/>
      <c r="N34" s="14">
        <v>65</v>
      </c>
      <c r="O34" s="22">
        <v>21.95</v>
      </c>
      <c r="P34" s="10">
        <v>12.32</v>
      </c>
      <c r="Q34" s="10">
        <f t="shared" ref="Q34:Q53" si="6">O34+P34</f>
        <v>34.269999999999996</v>
      </c>
      <c r="R34" s="11">
        <v>2.5000000000000001E-2</v>
      </c>
      <c r="S34" s="12">
        <v>35</v>
      </c>
      <c r="T34" s="10">
        <f t="shared" ref="T34:T53" si="7">S34/(N34/12)</f>
        <v>6.4615384615384608</v>
      </c>
      <c r="U34" s="26">
        <v>5</v>
      </c>
      <c r="V34" s="14" t="s">
        <v>169</v>
      </c>
      <c r="W34" s="15">
        <f t="shared" ref="W34:W53" si="8">(U34/12)*Q34</f>
        <v>14.279166666666665</v>
      </c>
      <c r="X34" s="16">
        <f t="shared" ref="X34:X53" si="9">U34/(N34/12)</f>
        <v>0.92307692307692302</v>
      </c>
      <c r="Y34" s="15">
        <f t="shared" ref="Y34:Y53" si="10">W34/(N34/12)</f>
        <v>2.6361538461538458</v>
      </c>
      <c r="Z34" s="12">
        <f>S34+W34</f>
        <v>49.279166666666669</v>
      </c>
      <c r="AA34" s="15">
        <f t="shared" ref="AA34:AA53" si="11">Z34/(N34/12)</f>
        <v>9.0976923076923075</v>
      </c>
      <c r="AB34" s="23" t="s">
        <v>912</v>
      </c>
      <c r="AC34" s="14" t="s">
        <v>650</v>
      </c>
      <c r="AD34" s="14" t="s">
        <v>158</v>
      </c>
      <c r="AE34" s="14"/>
      <c r="AF34" s="14" t="s">
        <v>230</v>
      </c>
      <c r="AG34" s="14"/>
    </row>
    <row r="35" spans="1:33" s="14" customFormat="1" ht="28.8" x14ac:dyDescent="0.3">
      <c r="A35" s="19">
        <v>43951</v>
      </c>
      <c r="B35" s="14" t="s">
        <v>1260</v>
      </c>
      <c r="C35" s="14" t="s">
        <v>1261</v>
      </c>
      <c r="D35" s="14" t="s">
        <v>1262</v>
      </c>
      <c r="E35" s="14" t="s">
        <v>194</v>
      </c>
      <c r="F35" s="14" t="s">
        <v>63</v>
      </c>
      <c r="G35" s="14" t="s">
        <v>64</v>
      </c>
      <c r="H35" s="47">
        <v>4840</v>
      </c>
      <c r="I35" s="14" t="s">
        <v>74</v>
      </c>
      <c r="J35" s="21"/>
      <c r="K35" s="19">
        <v>43709</v>
      </c>
      <c r="L35" s="19">
        <v>45688</v>
      </c>
      <c r="M35" s="19"/>
      <c r="N35" s="14">
        <v>65</v>
      </c>
      <c r="O35" s="22">
        <v>18.010000000000002</v>
      </c>
      <c r="P35" s="10">
        <v>14.99</v>
      </c>
      <c r="Q35" s="10">
        <f t="shared" si="6"/>
        <v>33</v>
      </c>
      <c r="R35" s="15">
        <v>0.5</v>
      </c>
      <c r="S35" s="12">
        <v>30</v>
      </c>
      <c r="T35" s="10">
        <f t="shared" si="7"/>
        <v>5.5384615384615383</v>
      </c>
      <c r="U35" s="26">
        <v>5</v>
      </c>
      <c r="V35" s="14" t="s">
        <v>40</v>
      </c>
      <c r="W35" s="15">
        <f t="shared" si="8"/>
        <v>13.75</v>
      </c>
      <c r="X35" s="16">
        <f t="shared" si="9"/>
        <v>0.92307692307692302</v>
      </c>
      <c r="Y35" s="15">
        <f t="shared" si="10"/>
        <v>2.5384615384615383</v>
      </c>
      <c r="Z35" s="12">
        <f>W35+S35</f>
        <v>43.75</v>
      </c>
      <c r="AA35" s="15">
        <f t="shared" si="11"/>
        <v>8.0769230769230766</v>
      </c>
      <c r="AB35" s="23" t="s">
        <v>709</v>
      </c>
      <c r="AE35" s="14" t="s">
        <v>1263</v>
      </c>
    </row>
    <row r="36" spans="1:33" s="14" customFormat="1" ht="28.8" x14ac:dyDescent="0.3">
      <c r="A36" s="19">
        <v>43951</v>
      </c>
      <c r="B36" s="14" t="s">
        <v>1283</v>
      </c>
      <c r="C36" s="14" t="s">
        <v>848</v>
      </c>
      <c r="D36" s="14" t="s">
        <v>849</v>
      </c>
      <c r="E36" s="14" t="s">
        <v>103</v>
      </c>
      <c r="F36" s="14" t="s">
        <v>37</v>
      </c>
      <c r="G36" s="14" t="s">
        <v>38</v>
      </c>
      <c r="H36" s="20">
        <v>7890</v>
      </c>
      <c r="I36" s="14" t="s">
        <v>39</v>
      </c>
      <c r="J36" s="21"/>
      <c r="K36" s="19">
        <v>43739</v>
      </c>
      <c r="L36" s="19">
        <v>45716</v>
      </c>
      <c r="M36" s="19"/>
      <c r="N36" s="14">
        <v>65</v>
      </c>
      <c r="O36" s="22">
        <v>18.5</v>
      </c>
      <c r="P36" s="10">
        <v>11.85</v>
      </c>
      <c r="Q36" s="10">
        <f t="shared" si="6"/>
        <v>30.35</v>
      </c>
      <c r="R36" s="15">
        <v>0.5</v>
      </c>
      <c r="S36" s="12">
        <v>35</v>
      </c>
      <c r="T36" s="10">
        <f t="shared" si="7"/>
        <v>6.4615384615384608</v>
      </c>
      <c r="U36" s="26">
        <v>5</v>
      </c>
      <c r="V36" s="14" t="s">
        <v>40</v>
      </c>
      <c r="W36" s="15">
        <f t="shared" si="8"/>
        <v>12.645833333333334</v>
      </c>
      <c r="X36" s="16">
        <f t="shared" si="9"/>
        <v>0.92307692307692302</v>
      </c>
      <c r="Y36" s="15">
        <f t="shared" si="10"/>
        <v>2.3346153846153848</v>
      </c>
      <c r="Z36" s="12">
        <f>W36+S36</f>
        <v>47.645833333333336</v>
      </c>
      <c r="AA36" s="15">
        <f t="shared" si="11"/>
        <v>8.796153846153846</v>
      </c>
      <c r="AB36" s="49">
        <f>AA36/O36</f>
        <v>0.47546777546777547</v>
      </c>
      <c r="AC36" s="14" t="s">
        <v>699</v>
      </c>
      <c r="AD36" s="14" t="s">
        <v>98</v>
      </c>
      <c r="AE36" s="14" t="s">
        <v>1284</v>
      </c>
      <c r="AG36" s="14" t="s">
        <v>1038</v>
      </c>
    </row>
    <row r="37" spans="1:33" s="14" customFormat="1" ht="28.8" x14ac:dyDescent="0.3">
      <c r="A37" s="19">
        <v>43951</v>
      </c>
      <c r="B37" s="14" t="s">
        <v>1285</v>
      </c>
      <c r="C37" s="14" t="s">
        <v>1286</v>
      </c>
      <c r="D37" s="14" t="s">
        <v>1287</v>
      </c>
      <c r="E37" s="14" t="s">
        <v>194</v>
      </c>
      <c r="F37" s="14" t="s">
        <v>63</v>
      </c>
      <c r="G37" s="14" t="s">
        <v>64</v>
      </c>
      <c r="H37" s="20">
        <v>8665</v>
      </c>
      <c r="I37" s="14" t="s">
        <v>74</v>
      </c>
      <c r="J37" s="21">
        <v>43313</v>
      </c>
      <c r="K37" s="19">
        <v>43525</v>
      </c>
      <c r="L37" s="19">
        <v>45716</v>
      </c>
      <c r="M37" s="19"/>
      <c r="N37" s="14">
        <v>72</v>
      </c>
      <c r="O37" s="22">
        <v>15.5</v>
      </c>
      <c r="P37" s="10">
        <v>9.52</v>
      </c>
      <c r="Q37" s="10">
        <f t="shared" si="6"/>
        <v>25.02</v>
      </c>
      <c r="R37" s="15">
        <v>0.5</v>
      </c>
      <c r="S37" s="12">
        <v>70</v>
      </c>
      <c r="T37" s="10">
        <f t="shared" si="7"/>
        <v>11.666666666666666</v>
      </c>
      <c r="U37" s="26">
        <v>6</v>
      </c>
      <c r="V37" s="14" t="s">
        <v>40</v>
      </c>
      <c r="W37" s="15">
        <f t="shared" si="8"/>
        <v>12.51</v>
      </c>
      <c r="X37" s="16">
        <f t="shared" si="9"/>
        <v>1</v>
      </c>
      <c r="Y37" s="15">
        <f t="shared" si="10"/>
        <v>2.085</v>
      </c>
      <c r="Z37" s="12">
        <f>S37+W37</f>
        <v>82.51</v>
      </c>
      <c r="AA37" s="15">
        <f t="shared" si="11"/>
        <v>13.751666666666667</v>
      </c>
      <c r="AB37" s="49">
        <f>AA37/O37</f>
        <v>0.88720430107526882</v>
      </c>
      <c r="AC37" s="14" t="s">
        <v>1288</v>
      </c>
      <c r="AD37" s="14" t="s">
        <v>500</v>
      </c>
      <c r="AE37" s="14" t="s">
        <v>1289</v>
      </c>
    </row>
    <row r="38" spans="1:33" s="14" customFormat="1" ht="129.6" x14ac:dyDescent="0.3">
      <c r="A38" s="19">
        <v>43951</v>
      </c>
      <c r="B38" s="14" t="s">
        <v>1294</v>
      </c>
      <c r="C38" s="14" t="s">
        <v>1295</v>
      </c>
      <c r="D38" s="14" t="s">
        <v>148</v>
      </c>
      <c r="E38" s="14" t="s">
        <v>89</v>
      </c>
      <c r="F38" s="14" t="s">
        <v>90</v>
      </c>
      <c r="G38" s="14" t="s">
        <v>64</v>
      </c>
      <c r="H38" s="20">
        <v>10102</v>
      </c>
      <c r="I38" s="14" t="s">
        <v>488</v>
      </c>
      <c r="J38" s="21">
        <v>43678</v>
      </c>
      <c r="K38" s="19">
        <v>43800</v>
      </c>
      <c r="L38" s="19">
        <v>45716</v>
      </c>
      <c r="M38" s="19">
        <v>44895</v>
      </c>
      <c r="N38" s="14">
        <v>63</v>
      </c>
      <c r="O38" s="22">
        <v>16.5</v>
      </c>
      <c r="P38" s="10">
        <v>12.99</v>
      </c>
      <c r="Q38" s="10">
        <f t="shared" si="6"/>
        <v>29.490000000000002</v>
      </c>
      <c r="R38" s="15">
        <v>0.5</v>
      </c>
      <c r="S38" s="12">
        <v>32.5</v>
      </c>
      <c r="T38" s="10">
        <f t="shared" si="7"/>
        <v>6.1904761904761907</v>
      </c>
      <c r="U38" s="26">
        <v>3</v>
      </c>
      <c r="V38" s="14" t="s">
        <v>40</v>
      </c>
      <c r="W38" s="15">
        <f t="shared" si="8"/>
        <v>7.3725000000000005</v>
      </c>
      <c r="X38" s="16">
        <f t="shared" si="9"/>
        <v>0.5714285714285714</v>
      </c>
      <c r="Y38" s="15">
        <f t="shared" si="10"/>
        <v>1.4042857142857144</v>
      </c>
      <c r="Z38" s="12">
        <f>W38+S38</f>
        <v>39.872500000000002</v>
      </c>
      <c r="AA38" s="15">
        <f t="shared" si="11"/>
        <v>7.5947619047619055</v>
      </c>
      <c r="AB38" s="49">
        <f>AA38/O38</f>
        <v>0.46028860028860036</v>
      </c>
      <c r="AC38" s="14" t="s">
        <v>1296</v>
      </c>
      <c r="AD38" s="8" t="s">
        <v>91</v>
      </c>
      <c r="AE38" s="14" t="s">
        <v>116</v>
      </c>
      <c r="AF38" s="14" t="s">
        <v>1297</v>
      </c>
      <c r="AG38" s="14" t="s">
        <v>441</v>
      </c>
    </row>
    <row r="39" spans="1:33" s="14" customFormat="1" ht="28.8" x14ac:dyDescent="0.3">
      <c r="A39" s="19">
        <v>43951</v>
      </c>
      <c r="B39" s="14" t="s">
        <v>1180</v>
      </c>
      <c r="C39" s="14" t="s">
        <v>101</v>
      </c>
      <c r="D39" s="14" t="s">
        <v>102</v>
      </c>
      <c r="E39" s="14" t="s">
        <v>103</v>
      </c>
      <c r="F39" s="14" t="s">
        <v>37</v>
      </c>
      <c r="G39" s="14" t="s">
        <v>38</v>
      </c>
      <c r="H39" s="47">
        <v>6922</v>
      </c>
      <c r="I39" s="14" t="s">
        <v>39</v>
      </c>
      <c r="J39" s="21"/>
      <c r="K39" s="19">
        <v>43617</v>
      </c>
      <c r="L39" s="19">
        <v>45808</v>
      </c>
      <c r="M39" s="19"/>
      <c r="N39" s="14">
        <v>72</v>
      </c>
      <c r="O39" s="22">
        <v>21.5</v>
      </c>
      <c r="P39" s="10">
        <v>13.03</v>
      </c>
      <c r="Q39" s="10">
        <f t="shared" si="6"/>
        <v>34.53</v>
      </c>
      <c r="R39" s="15">
        <v>0.5</v>
      </c>
      <c r="S39" s="12">
        <v>55</v>
      </c>
      <c r="T39" s="10">
        <f t="shared" si="7"/>
        <v>9.1666666666666661</v>
      </c>
      <c r="U39" s="13">
        <v>0</v>
      </c>
      <c r="W39" s="15">
        <f t="shared" si="8"/>
        <v>0</v>
      </c>
      <c r="X39" s="16">
        <f t="shared" si="9"/>
        <v>0</v>
      </c>
      <c r="Y39" s="15">
        <f t="shared" si="10"/>
        <v>0</v>
      </c>
      <c r="Z39" s="12">
        <f>S39+W39</f>
        <v>55</v>
      </c>
      <c r="AA39" s="15">
        <f t="shared" si="11"/>
        <v>9.1666666666666661</v>
      </c>
      <c r="AB39" s="23" t="s">
        <v>699</v>
      </c>
      <c r="AF39" s="14" t="s">
        <v>1038</v>
      </c>
    </row>
    <row r="40" spans="1:33" s="14" customFormat="1" ht="28.8" x14ac:dyDescent="0.3">
      <c r="A40" s="19">
        <v>43951</v>
      </c>
      <c r="B40" s="14" t="s">
        <v>1209</v>
      </c>
      <c r="C40" s="14" t="s">
        <v>1186</v>
      </c>
      <c r="D40" s="14" t="s">
        <v>1187</v>
      </c>
      <c r="E40" s="14" t="s">
        <v>97</v>
      </c>
      <c r="F40" s="14" t="s">
        <v>37</v>
      </c>
      <c r="G40" s="14" t="s">
        <v>64</v>
      </c>
      <c r="H40" s="47">
        <v>12998</v>
      </c>
      <c r="I40" s="14" t="s">
        <v>212</v>
      </c>
      <c r="J40" s="21">
        <v>43800</v>
      </c>
      <c r="K40" s="19">
        <v>43952</v>
      </c>
      <c r="L40" s="19">
        <v>45838</v>
      </c>
      <c r="M40" s="19"/>
      <c r="N40" s="14">
        <v>62</v>
      </c>
      <c r="O40" s="22">
        <v>6.35</v>
      </c>
      <c r="P40" s="10">
        <v>19.149999999999999</v>
      </c>
      <c r="Q40" s="10">
        <f t="shared" si="6"/>
        <v>25.5</v>
      </c>
      <c r="R40" s="15">
        <v>0.5</v>
      </c>
      <c r="S40" s="12">
        <v>13</v>
      </c>
      <c r="T40" s="10">
        <f t="shared" si="7"/>
        <v>2.5161290322580645</v>
      </c>
      <c r="U40" s="26">
        <v>2</v>
      </c>
      <c r="W40" s="15">
        <f t="shared" si="8"/>
        <v>4.25</v>
      </c>
      <c r="X40" s="16">
        <f t="shared" si="9"/>
        <v>0.38709677419354838</v>
      </c>
      <c r="Y40" s="15">
        <f t="shared" si="10"/>
        <v>0.82258064516129026</v>
      </c>
      <c r="Z40" s="12">
        <f>S40+W40</f>
        <v>17.25</v>
      </c>
      <c r="AA40" s="15">
        <f t="shared" si="11"/>
        <v>3.3387096774193545</v>
      </c>
      <c r="AB40" s="23" t="s">
        <v>1210</v>
      </c>
      <c r="AC40" s="14" t="s">
        <v>1211</v>
      </c>
      <c r="AD40" s="14" t="s">
        <v>1212</v>
      </c>
      <c r="AF40" s="14" t="s">
        <v>230</v>
      </c>
    </row>
    <row r="41" spans="1:33" s="14" customFormat="1" ht="28.8" x14ac:dyDescent="0.3">
      <c r="A41" s="19">
        <v>43951</v>
      </c>
      <c r="B41" s="14" t="s">
        <v>1276</v>
      </c>
      <c r="C41" s="14" t="s">
        <v>1277</v>
      </c>
      <c r="D41" s="14" t="s">
        <v>1278</v>
      </c>
      <c r="E41" s="14" t="s">
        <v>239</v>
      </c>
      <c r="F41" s="14" t="s">
        <v>37</v>
      </c>
      <c r="G41" s="14" t="s">
        <v>38</v>
      </c>
      <c r="H41" s="47">
        <v>6762</v>
      </c>
      <c r="I41" s="14" t="s">
        <v>39</v>
      </c>
      <c r="J41" s="21">
        <v>43709</v>
      </c>
      <c r="K41" s="19">
        <v>43831</v>
      </c>
      <c r="L41" s="19">
        <v>45838</v>
      </c>
      <c r="M41" s="19"/>
      <c r="N41" s="14">
        <v>66</v>
      </c>
      <c r="O41" s="22">
        <v>14.75</v>
      </c>
      <c r="P41" s="10">
        <v>11.74</v>
      </c>
      <c r="Q41" s="10">
        <f t="shared" si="6"/>
        <v>26.490000000000002</v>
      </c>
      <c r="R41" s="15">
        <v>0.5</v>
      </c>
      <c r="S41" s="12">
        <v>40</v>
      </c>
      <c r="T41" s="10">
        <f t="shared" si="7"/>
        <v>7.2727272727272725</v>
      </c>
      <c r="U41" s="26">
        <v>6</v>
      </c>
      <c r="V41" s="14" t="s">
        <v>40</v>
      </c>
      <c r="W41" s="15">
        <f t="shared" si="8"/>
        <v>13.245000000000001</v>
      </c>
      <c r="X41" s="16">
        <f t="shared" si="9"/>
        <v>1.0909090909090908</v>
      </c>
      <c r="Y41" s="15">
        <f t="shared" si="10"/>
        <v>2.4081818181818182</v>
      </c>
      <c r="Z41" s="12">
        <f>S41+W41</f>
        <v>53.245000000000005</v>
      </c>
      <c r="AA41" s="15">
        <f t="shared" si="11"/>
        <v>9.6809090909090916</v>
      </c>
      <c r="AB41" s="23" t="s">
        <v>1279</v>
      </c>
      <c r="AC41" s="14" t="s">
        <v>91</v>
      </c>
      <c r="AD41" s="14" t="s">
        <v>116</v>
      </c>
      <c r="AF41" s="14" t="s">
        <v>1280</v>
      </c>
    </row>
    <row r="42" spans="1:33" s="14" customFormat="1" ht="28.8" x14ac:dyDescent="0.3">
      <c r="A42" s="19">
        <v>43951</v>
      </c>
      <c r="B42" s="14" t="s">
        <v>1302</v>
      </c>
      <c r="C42" s="14" t="s">
        <v>422</v>
      </c>
      <c r="D42" s="14" t="s">
        <v>423</v>
      </c>
      <c r="E42" s="14" t="s">
        <v>89</v>
      </c>
      <c r="F42" s="14" t="s">
        <v>90</v>
      </c>
      <c r="G42" s="14" t="s">
        <v>64</v>
      </c>
      <c r="H42" s="20">
        <v>36215</v>
      </c>
      <c r="I42" s="14" t="s">
        <v>74</v>
      </c>
      <c r="J42" s="21">
        <v>43497</v>
      </c>
      <c r="K42" s="19">
        <v>43831</v>
      </c>
      <c r="L42" s="19">
        <v>45838</v>
      </c>
      <c r="M42" s="19"/>
      <c r="N42" s="14">
        <v>66</v>
      </c>
      <c r="O42" s="22">
        <v>15.75</v>
      </c>
      <c r="P42" s="10">
        <v>12.83</v>
      </c>
      <c r="Q42" s="10">
        <f t="shared" si="6"/>
        <v>28.58</v>
      </c>
      <c r="R42" s="15">
        <v>0.5</v>
      </c>
      <c r="S42" s="12">
        <v>18</v>
      </c>
      <c r="T42" s="10">
        <f t="shared" si="7"/>
        <v>3.2727272727272729</v>
      </c>
      <c r="U42" s="26">
        <v>6</v>
      </c>
      <c r="V42" s="14" t="s">
        <v>40</v>
      </c>
      <c r="W42" s="15">
        <f t="shared" si="8"/>
        <v>14.29</v>
      </c>
      <c r="X42" s="16">
        <f t="shared" si="9"/>
        <v>1.0909090909090908</v>
      </c>
      <c r="Y42" s="15">
        <f t="shared" si="10"/>
        <v>2.5981818181818181</v>
      </c>
      <c r="Z42" s="12">
        <f>S42+W42</f>
        <v>32.29</v>
      </c>
      <c r="AA42" s="15">
        <f t="shared" si="11"/>
        <v>5.8709090909090911</v>
      </c>
      <c r="AB42" s="49">
        <f>AA42/O42</f>
        <v>0.37275613275613279</v>
      </c>
      <c r="AC42" s="14" t="s">
        <v>999</v>
      </c>
      <c r="AD42" s="14" t="s">
        <v>98</v>
      </c>
      <c r="AE42" s="14" t="s">
        <v>465</v>
      </c>
      <c r="AG42" s="14" t="s">
        <v>1303</v>
      </c>
    </row>
    <row r="43" spans="1:33" s="48" customFormat="1" ht="28.8" x14ac:dyDescent="0.3">
      <c r="A43" s="19">
        <v>43951</v>
      </c>
      <c r="B43" s="14" t="s">
        <v>1304</v>
      </c>
      <c r="C43" s="14" t="s">
        <v>1305</v>
      </c>
      <c r="D43" s="14" t="s">
        <v>35</v>
      </c>
      <c r="E43" s="14" t="s">
        <v>36</v>
      </c>
      <c r="F43" s="14" t="s">
        <v>37</v>
      </c>
      <c r="G43" s="14" t="s">
        <v>38</v>
      </c>
      <c r="H43" s="20">
        <v>5229</v>
      </c>
      <c r="I43" s="14" t="s">
        <v>39</v>
      </c>
      <c r="J43" s="21"/>
      <c r="K43" s="19">
        <v>43891</v>
      </c>
      <c r="L43" s="19">
        <v>45869</v>
      </c>
      <c r="M43" s="19"/>
      <c r="N43" s="14">
        <v>65</v>
      </c>
      <c r="O43" s="22">
        <v>18.75</v>
      </c>
      <c r="P43" s="10">
        <v>10.02</v>
      </c>
      <c r="Q43" s="10">
        <f t="shared" si="6"/>
        <v>28.77</v>
      </c>
      <c r="R43" s="11">
        <v>0.03</v>
      </c>
      <c r="S43" s="12">
        <v>26</v>
      </c>
      <c r="T43" s="10">
        <f t="shared" si="7"/>
        <v>4.8</v>
      </c>
      <c r="U43" s="26">
        <v>5</v>
      </c>
      <c r="V43" s="14" t="s">
        <v>169</v>
      </c>
      <c r="W43" s="15">
        <f t="shared" si="8"/>
        <v>11.987500000000001</v>
      </c>
      <c r="X43" s="16">
        <f t="shared" si="9"/>
        <v>0.92307692307692302</v>
      </c>
      <c r="Y43" s="15">
        <f t="shared" si="10"/>
        <v>2.2130769230769229</v>
      </c>
      <c r="Z43" s="12">
        <f>W43+S43</f>
        <v>37.987499999999997</v>
      </c>
      <c r="AA43" s="15">
        <f t="shared" si="11"/>
        <v>7.0130769230769223</v>
      </c>
      <c r="AB43" s="49">
        <f>AA43/O43</f>
        <v>0.37403076923076917</v>
      </c>
      <c r="AC43" s="14" t="s">
        <v>1306</v>
      </c>
      <c r="AD43" s="8" t="s">
        <v>91</v>
      </c>
      <c r="AE43" s="14" t="s">
        <v>92</v>
      </c>
      <c r="AF43" s="14" t="s">
        <v>1307</v>
      </c>
      <c r="AG43" s="14" t="s">
        <v>92</v>
      </c>
    </row>
    <row r="44" spans="1:33" s="14" customFormat="1" ht="28.8" x14ac:dyDescent="0.3">
      <c r="A44" s="19">
        <v>43951</v>
      </c>
      <c r="B44" s="14" t="s">
        <v>1308</v>
      </c>
      <c r="C44" s="14" t="s">
        <v>567</v>
      </c>
      <c r="D44" s="14" t="s">
        <v>568</v>
      </c>
      <c r="E44" s="14" t="s">
        <v>62</v>
      </c>
      <c r="F44" s="14" t="s">
        <v>63</v>
      </c>
      <c r="G44" s="14" t="s">
        <v>64</v>
      </c>
      <c r="H44" s="20">
        <v>7894</v>
      </c>
      <c r="I44" s="14" t="s">
        <v>39</v>
      </c>
      <c r="J44" s="21">
        <v>43770</v>
      </c>
      <c r="K44" s="19">
        <v>43922</v>
      </c>
      <c r="L44" s="19">
        <v>45900</v>
      </c>
      <c r="M44" s="19"/>
      <c r="N44" s="14">
        <v>65</v>
      </c>
      <c r="O44" s="22">
        <v>16.5</v>
      </c>
      <c r="P44" s="10">
        <v>16.38</v>
      </c>
      <c r="Q44" s="10">
        <f t="shared" si="6"/>
        <v>32.879999999999995</v>
      </c>
      <c r="R44" s="15">
        <v>0.5</v>
      </c>
      <c r="S44" s="12">
        <v>30</v>
      </c>
      <c r="T44" s="10">
        <f t="shared" si="7"/>
        <v>5.5384615384615383</v>
      </c>
      <c r="U44" s="26">
        <v>5</v>
      </c>
      <c r="V44" s="14" t="s">
        <v>169</v>
      </c>
      <c r="W44" s="15">
        <f t="shared" si="8"/>
        <v>13.7</v>
      </c>
      <c r="X44" s="16">
        <f t="shared" si="9"/>
        <v>0.92307692307692302</v>
      </c>
      <c r="Y44" s="15">
        <f t="shared" si="10"/>
        <v>2.5292307692307689</v>
      </c>
      <c r="Z44" s="12">
        <f>S44+W44</f>
        <v>43.7</v>
      </c>
      <c r="AA44" s="15">
        <f t="shared" si="11"/>
        <v>8.0676923076923082</v>
      </c>
      <c r="AB44" s="62">
        <f>AA44/O44</f>
        <v>0.48895104895104896</v>
      </c>
      <c r="AC44" s="23" t="s">
        <v>1309</v>
      </c>
      <c r="AD44" s="8" t="s">
        <v>91</v>
      </c>
      <c r="AE44" s="14" t="s">
        <v>265</v>
      </c>
      <c r="AG44" s="14" t="s">
        <v>265</v>
      </c>
    </row>
    <row r="45" spans="1:33" s="14" customFormat="1" ht="28.8" x14ac:dyDescent="0.3">
      <c r="A45" s="19">
        <v>43951</v>
      </c>
      <c r="B45" s="14" t="s">
        <v>1272</v>
      </c>
      <c r="C45" s="14" t="s">
        <v>1273</v>
      </c>
      <c r="D45" s="14" t="s">
        <v>1274</v>
      </c>
      <c r="E45" s="14" t="s">
        <v>120</v>
      </c>
      <c r="F45" s="14" t="s">
        <v>90</v>
      </c>
      <c r="G45" s="14" t="s">
        <v>55</v>
      </c>
      <c r="H45" s="47">
        <v>14956</v>
      </c>
      <c r="I45" s="14" t="s">
        <v>39</v>
      </c>
      <c r="J45" s="21"/>
      <c r="K45" s="19">
        <v>43739</v>
      </c>
      <c r="L45" s="19">
        <v>45930</v>
      </c>
      <c r="M45" s="19"/>
      <c r="N45" s="14">
        <v>72</v>
      </c>
      <c r="O45" s="22">
        <v>9.9700000000000006</v>
      </c>
      <c r="P45" s="10">
        <v>6.03</v>
      </c>
      <c r="Q45" s="10">
        <f t="shared" si="6"/>
        <v>16</v>
      </c>
      <c r="R45" s="15">
        <v>0.5</v>
      </c>
      <c r="S45" s="23"/>
      <c r="T45" s="10">
        <f t="shared" si="7"/>
        <v>0</v>
      </c>
      <c r="U45" s="26">
        <v>5</v>
      </c>
      <c r="V45" s="14" t="s">
        <v>40</v>
      </c>
      <c r="W45" s="15">
        <f t="shared" si="8"/>
        <v>6.666666666666667</v>
      </c>
      <c r="X45" s="16">
        <f t="shared" si="9"/>
        <v>0.83333333333333337</v>
      </c>
      <c r="Y45" s="15">
        <f t="shared" si="10"/>
        <v>1.1111111111111112</v>
      </c>
      <c r="Z45" s="12">
        <f>S45+W45</f>
        <v>6.666666666666667</v>
      </c>
      <c r="AA45" s="15">
        <f t="shared" si="11"/>
        <v>1.1111111111111112</v>
      </c>
      <c r="AB45" s="14" t="s">
        <v>1275</v>
      </c>
      <c r="AC45" s="23"/>
      <c r="AF45" s="14" t="s">
        <v>92</v>
      </c>
    </row>
    <row r="46" spans="1:33" s="14" customFormat="1" ht="28.8" x14ac:dyDescent="0.3">
      <c r="A46" s="19">
        <v>43951</v>
      </c>
      <c r="B46" s="14" t="s">
        <v>933</v>
      </c>
      <c r="C46" s="14" t="s">
        <v>147</v>
      </c>
      <c r="D46" s="14" t="s">
        <v>366</v>
      </c>
      <c r="E46" s="14" t="s">
        <v>89</v>
      </c>
      <c r="F46" s="14" t="s">
        <v>90</v>
      </c>
      <c r="G46" s="14" t="s">
        <v>64</v>
      </c>
      <c r="H46" s="20">
        <v>6310</v>
      </c>
      <c r="I46" s="14" t="s">
        <v>74</v>
      </c>
      <c r="J46" s="21">
        <v>43739</v>
      </c>
      <c r="K46" s="19">
        <v>43952</v>
      </c>
      <c r="L46" s="19">
        <v>45961</v>
      </c>
      <c r="M46" s="19"/>
      <c r="N46" s="14">
        <v>66</v>
      </c>
      <c r="O46" s="22">
        <v>15</v>
      </c>
      <c r="P46" s="10">
        <v>13.64</v>
      </c>
      <c r="Q46" s="10">
        <f t="shared" si="6"/>
        <v>28.64</v>
      </c>
      <c r="R46" s="15">
        <v>0.5</v>
      </c>
      <c r="S46" s="12">
        <v>5</v>
      </c>
      <c r="T46" s="10">
        <f t="shared" si="7"/>
        <v>0.90909090909090906</v>
      </c>
      <c r="U46" s="26">
        <v>6</v>
      </c>
      <c r="V46" s="14" t="s">
        <v>40</v>
      </c>
      <c r="W46" s="15">
        <f t="shared" si="8"/>
        <v>14.32</v>
      </c>
      <c r="X46" s="16">
        <f t="shared" si="9"/>
        <v>1.0909090909090908</v>
      </c>
      <c r="Y46" s="15">
        <f t="shared" si="10"/>
        <v>2.6036363636363635</v>
      </c>
      <c r="Z46" s="12">
        <f>S46+W46</f>
        <v>19.32</v>
      </c>
      <c r="AA46" s="15">
        <f t="shared" si="11"/>
        <v>3.5127272727272727</v>
      </c>
      <c r="AB46" s="62">
        <f>AA46/O46</f>
        <v>0.23418181818181819</v>
      </c>
      <c r="AC46" s="23" t="s">
        <v>693</v>
      </c>
      <c r="AD46" s="14" t="s">
        <v>934</v>
      </c>
      <c r="AE46" s="14" t="s">
        <v>935</v>
      </c>
      <c r="AG46" s="14" t="s">
        <v>936</v>
      </c>
    </row>
    <row r="47" spans="1:33" s="14" customFormat="1" ht="100.8" x14ac:dyDescent="0.3">
      <c r="A47" s="19">
        <v>43951</v>
      </c>
      <c r="B47" s="14" t="s">
        <v>1264</v>
      </c>
      <c r="C47" s="14" t="s">
        <v>1265</v>
      </c>
      <c r="D47" s="14" t="s">
        <v>1266</v>
      </c>
      <c r="E47" s="14" t="s">
        <v>168</v>
      </c>
      <c r="F47" s="14" t="s">
        <v>37</v>
      </c>
      <c r="G47" s="14" t="s">
        <v>38</v>
      </c>
      <c r="H47" s="47">
        <v>52077</v>
      </c>
      <c r="I47" s="14" t="s">
        <v>74</v>
      </c>
      <c r="J47" s="21"/>
      <c r="K47" s="19">
        <v>44805</v>
      </c>
      <c r="L47" s="19">
        <v>45991</v>
      </c>
      <c r="M47" s="19"/>
      <c r="N47" s="14">
        <v>39</v>
      </c>
      <c r="O47" s="22">
        <v>11.5</v>
      </c>
      <c r="P47" s="10">
        <v>8.6999999999999993</v>
      </c>
      <c r="Q47" s="10">
        <f t="shared" si="6"/>
        <v>20.2</v>
      </c>
      <c r="R47" s="11">
        <v>2.5000000000000001E-2</v>
      </c>
      <c r="S47" s="12">
        <v>15</v>
      </c>
      <c r="T47" s="10">
        <f t="shared" si="7"/>
        <v>4.615384615384615</v>
      </c>
      <c r="U47" s="26">
        <v>3</v>
      </c>
      <c r="V47" s="14" t="s">
        <v>40</v>
      </c>
      <c r="W47" s="15">
        <f t="shared" si="8"/>
        <v>5.05</v>
      </c>
      <c r="X47" s="16">
        <f t="shared" si="9"/>
        <v>0.92307692307692313</v>
      </c>
      <c r="Y47" s="15">
        <f t="shared" si="10"/>
        <v>1.5538461538461539</v>
      </c>
      <c r="Z47" s="12">
        <f>W47+S47</f>
        <v>20.05</v>
      </c>
      <c r="AA47" s="15">
        <f t="shared" si="11"/>
        <v>6.1692307692307695</v>
      </c>
      <c r="AB47" s="14" t="s">
        <v>1267</v>
      </c>
      <c r="AC47" s="23" t="s">
        <v>650</v>
      </c>
      <c r="AD47" s="14" t="s">
        <v>1268</v>
      </c>
      <c r="AE47" s="14" t="s">
        <v>1269</v>
      </c>
      <c r="AF47" s="14" t="s">
        <v>116</v>
      </c>
    </row>
    <row r="48" spans="1:33" s="14" customFormat="1" ht="28.8" x14ac:dyDescent="0.3">
      <c r="A48" s="29">
        <v>43951</v>
      </c>
      <c r="B48" s="24" t="s">
        <v>937</v>
      </c>
      <c r="C48" s="24" t="s">
        <v>128</v>
      </c>
      <c r="D48" s="24" t="s">
        <v>484</v>
      </c>
      <c r="E48" s="24" t="s">
        <v>103</v>
      </c>
      <c r="F48" s="24" t="s">
        <v>37</v>
      </c>
      <c r="G48" s="24" t="s">
        <v>38</v>
      </c>
      <c r="H48" s="30">
        <v>4080</v>
      </c>
      <c r="I48" s="24" t="s">
        <v>39</v>
      </c>
      <c r="J48" s="31"/>
      <c r="K48" s="29">
        <v>44044</v>
      </c>
      <c r="L48" s="29">
        <v>46022</v>
      </c>
      <c r="M48" s="29"/>
      <c r="N48" s="24">
        <v>65</v>
      </c>
      <c r="O48" s="32">
        <v>22.25</v>
      </c>
      <c r="P48" s="33">
        <v>12.32</v>
      </c>
      <c r="Q48" s="33">
        <f t="shared" si="6"/>
        <v>34.57</v>
      </c>
      <c r="R48" s="38">
        <v>2.5000000000000001E-2</v>
      </c>
      <c r="S48" s="35">
        <v>25</v>
      </c>
      <c r="T48" s="33">
        <f t="shared" si="7"/>
        <v>4.615384615384615</v>
      </c>
      <c r="U48" s="36">
        <v>5</v>
      </c>
      <c r="V48" s="24" t="s">
        <v>169</v>
      </c>
      <c r="W48" s="34">
        <f t="shared" si="8"/>
        <v>14.404166666666667</v>
      </c>
      <c r="X48" s="37">
        <f t="shared" si="9"/>
        <v>0.92307692307692302</v>
      </c>
      <c r="Y48" s="34">
        <f t="shared" si="10"/>
        <v>2.6592307692307693</v>
      </c>
      <c r="Z48" s="35">
        <f>W48+S48</f>
        <v>39.404166666666669</v>
      </c>
      <c r="AA48" s="34">
        <f t="shared" si="11"/>
        <v>7.2746153846153847</v>
      </c>
      <c r="AB48" s="63">
        <f>AA48/O48</f>
        <v>0.32694900605012966</v>
      </c>
      <c r="AC48" s="64" t="s">
        <v>912</v>
      </c>
      <c r="AD48" s="45" t="s">
        <v>91</v>
      </c>
      <c r="AE48" s="24" t="s">
        <v>938</v>
      </c>
      <c r="AF48" s="24"/>
      <c r="AG48" s="24" t="s">
        <v>230</v>
      </c>
    </row>
    <row r="49" spans="1:33" s="14" customFormat="1" ht="28.8" x14ac:dyDescent="0.3">
      <c r="A49" s="19">
        <v>43951</v>
      </c>
      <c r="B49" s="14" t="s">
        <v>939</v>
      </c>
      <c r="C49" s="14" t="s">
        <v>451</v>
      </c>
      <c r="D49" s="14" t="s">
        <v>452</v>
      </c>
      <c r="E49" s="14" t="s">
        <v>336</v>
      </c>
      <c r="F49" s="14" t="s">
        <v>63</v>
      </c>
      <c r="G49" s="14" t="s">
        <v>64</v>
      </c>
      <c r="H49" s="20">
        <v>7389</v>
      </c>
      <c r="I49" s="14" t="s">
        <v>74</v>
      </c>
      <c r="J49" s="21">
        <v>43678</v>
      </c>
      <c r="K49" s="19">
        <v>43831</v>
      </c>
      <c r="L49" s="19">
        <v>46022</v>
      </c>
      <c r="M49" s="19"/>
      <c r="N49" s="14">
        <v>72</v>
      </c>
      <c r="O49" s="22">
        <v>12.58</v>
      </c>
      <c r="P49" s="10">
        <v>10.92</v>
      </c>
      <c r="Q49" s="10">
        <f t="shared" si="6"/>
        <v>23.5</v>
      </c>
      <c r="R49" s="15">
        <v>0.5</v>
      </c>
      <c r="S49" s="12">
        <v>32.5</v>
      </c>
      <c r="T49" s="10">
        <f t="shared" si="7"/>
        <v>5.416666666666667</v>
      </c>
      <c r="U49" s="26">
        <v>5</v>
      </c>
      <c r="W49" s="15">
        <f t="shared" si="8"/>
        <v>9.7916666666666679</v>
      </c>
      <c r="X49" s="16">
        <f t="shared" si="9"/>
        <v>0.83333333333333337</v>
      </c>
      <c r="Y49" s="15">
        <f t="shared" si="10"/>
        <v>1.6319444444444446</v>
      </c>
      <c r="Z49" s="12">
        <f>S49+W49</f>
        <v>42.291666666666671</v>
      </c>
      <c r="AA49" s="15">
        <f t="shared" si="11"/>
        <v>7.0486111111111116</v>
      </c>
      <c r="AB49" s="17">
        <f>AA49/O49</f>
        <v>0.56030295000883235</v>
      </c>
      <c r="AC49" s="23" t="s">
        <v>940</v>
      </c>
      <c r="AD49" s="8" t="s">
        <v>91</v>
      </c>
      <c r="AE49" s="14" t="s">
        <v>225</v>
      </c>
      <c r="AG49" s="14" t="s">
        <v>867</v>
      </c>
    </row>
    <row r="50" spans="1:33" s="14" customFormat="1" ht="28.8" x14ac:dyDescent="0.3">
      <c r="A50" s="19">
        <v>43951</v>
      </c>
      <c r="B50" s="14" t="s">
        <v>1233</v>
      </c>
      <c r="C50" s="14" t="s">
        <v>1234</v>
      </c>
      <c r="D50" s="14" t="s">
        <v>1235</v>
      </c>
      <c r="E50" s="14" t="s">
        <v>144</v>
      </c>
      <c r="F50" s="14" t="s">
        <v>37</v>
      </c>
      <c r="G50" s="14" t="s">
        <v>64</v>
      </c>
      <c r="H50" s="47">
        <v>10145</v>
      </c>
      <c r="I50" s="14" t="s">
        <v>74</v>
      </c>
      <c r="J50" s="21"/>
      <c r="K50" s="19">
        <v>44075</v>
      </c>
      <c r="L50" s="19">
        <v>46053</v>
      </c>
      <c r="M50" s="19"/>
      <c r="N50" s="14">
        <v>66</v>
      </c>
      <c r="O50" s="22">
        <v>17.5</v>
      </c>
      <c r="P50" s="10">
        <v>17.010000000000002</v>
      </c>
      <c r="Q50" s="10">
        <f t="shared" si="6"/>
        <v>34.510000000000005</v>
      </c>
      <c r="R50" s="15">
        <v>0.5</v>
      </c>
      <c r="S50" s="12">
        <v>20</v>
      </c>
      <c r="T50" s="10">
        <f t="shared" si="7"/>
        <v>3.6363636363636362</v>
      </c>
      <c r="U50" s="26">
        <v>7</v>
      </c>
      <c r="V50" s="14" t="s">
        <v>169</v>
      </c>
      <c r="W50" s="15">
        <f t="shared" si="8"/>
        <v>20.130833333333339</v>
      </c>
      <c r="X50" s="16">
        <f t="shared" si="9"/>
        <v>1.2727272727272727</v>
      </c>
      <c r="Y50" s="15">
        <f t="shared" si="10"/>
        <v>3.660151515151516</v>
      </c>
      <c r="Z50" s="12">
        <f>S50+W50</f>
        <v>40.130833333333342</v>
      </c>
      <c r="AA50" s="15">
        <f t="shared" si="11"/>
        <v>7.2965151515151527</v>
      </c>
      <c r="AB50" s="14" t="s">
        <v>771</v>
      </c>
      <c r="AC50" s="23"/>
    </row>
    <row r="51" spans="1:33" s="14" customFormat="1" ht="43.2" x14ac:dyDescent="0.3">
      <c r="A51" s="19">
        <v>43951</v>
      </c>
      <c r="B51" s="14" t="s">
        <v>1224</v>
      </c>
      <c r="C51" s="14" t="s">
        <v>1024</v>
      </c>
      <c r="D51" s="14" t="s">
        <v>1225</v>
      </c>
      <c r="E51" s="14" t="s">
        <v>89</v>
      </c>
      <c r="F51" s="14" t="s">
        <v>90</v>
      </c>
      <c r="G51" s="14" t="s">
        <v>64</v>
      </c>
      <c r="H51" s="47">
        <v>25128</v>
      </c>
      <c r="I51" s="14" t="s">
        <v>74</v>
      </c>
      <c r="J51" s="21"/>
      <c r="K51" s="19">
        <v>44409</v>
      </c>
      <c r="L51" s="19">
        <v>46356</v>
      </c>
      <c r="M51" s="19"/>
      <c r="N51" s="14">
        <v>64</v>
      </c>
      <c r="O51" s="22">
        <v>11.9</v>
      </c>
      <c r="P51" s="10">
        <v>7.1</v>
      </c>
      <c r="Q51" s="10">
        <f t="shared" si="6"/>
        <v>19</v>
      </c>
      <c r="R51" s="11">
        <v>0.03</v>
      </c>
      <c r="S51" s="12">
        <v>22</v>
      </c>
      <c r="T51" s="10">
        <f t="shared" si="7"/>
        <v>4.125</v>
      </c>
      <c r="U51" s="26">
        <v>4</v>
      </c>
      <c r="V51" s="14" t="s">
        <v>40</v>
      </c>
      <c r="W51" s="15">
        <f t="shared" si="8"/>
        <v>6.333333333333333</v>
      </c>
      <c r="X51" s="16">
        <f t="shared" si="9"/>
        <v>0.75</v>
      </c>
      <c r="Y51" s="15">
        <f t="shared" si="10"/>
        <v>1.1875</v>
      </c>
      <c r="Z51" s="12">
        <f>S51+W51</f>
        <v>28.333333333333332</v>
      </c>
      <c r="AA51" s="15">
        <f t="shared" si="11"/>
        <v>5.3125</v>
      </c>
      <c r="AB51" s="14" t="s">
        <v>1026</v>
      </c>
      <c r="AC51" s="23" t="s">
        <v>1226</v>
      </c>
      <c r="AD51" s="14" t="s">
        <v>1227</v>
      </c>
      <c r="AF51" s="14" t="s">
        <v>1228</v>
      </c>
    </row>
    <row r="52" spans="1:33" s="14" customFormat="1" ht="28.8" x14ac:dyDescent="0.3">
      <c r="A52" s="19">
        <v>43951</v>
      </c>
      <c r="B52" s="14" t="s">
        <v>1185</v>
      </c>
      <c r="C52" s="14" t="s">
        <v>1186</v>
      </c>
      <c r="D52" s="14" t="s">
        <v>1187</v>
      </c>
      <c r="E52" s="14" t="s">
        <v>97</v>
      </c>
      <c r="F52" s="14" t="s">
        <v>37</v>
      </c>
      <c r="G52" s="14" t="s">
        <v>64</v>
      </c>
      <c r="H52" s="47">
        <v>4242</v>
      </c>
      <c r="I52" s="14" t="s">
        <v>39</v>
      </c>
      <c r="J52" s="21">
        <v>43617</v>
      </c>
      <c r="K52" s="19">
        <v>43709</v>
      </c>
      <c r="L52" s="19">
        <v>46387</v>
      </c>
      <c r="M52" s="19"/>
      <c r="N52" s="14">
        <v>88</v>
      </c>
      <c r="O52" s="22">
        <v>21</v>
      </c>
      <c r="P52" s="10">
        <v>20.22</v>
      </c>
      <c r="Q52" s="10">
        <f t="shared" si="6"/>
        <v>41.22</v>
      </c>
      <c r="R52" s="15">
        <v>0.5</v>
      </c>
      <c r="S52" s="12">
        <v>42</v>
      </c>
      <c r="T52" s="10">
        <f t="shared" si="7"/>
        <v>5.7272727272727275</v>
      </c>
      <c r="U52" s="26">
        <v>4</v>
      </c>
      <c r="W52" s="15">
        <f t="shared" si="8"/>
        <v>13.739999999999998</v>
      </c>
      <c r="X52" s="16">
        <f t="shared" si="9"/>
        <v>0.54545454545454553</v>
      </c>
      <c r="Y52" s="15">
        <f t="shared" si="10"/>
        <v>1.8736363636363635</v>
      </c>
      <c r="Z52" s="12">
        <f>W52+S52</f>
        <v>55.739999999999995</v>
      </c>
      <c r="AA52" s="15">
        <f t="shared" si="11"/>
        <v>7.6009090909090906</v>
      </c>
      <c r="AB52" s="14" t="s">
        <v>1188</v>
      </c>
      <c r="AC52" s="23"/>
      <c r="AE52" s="14" t="s">
        <v>1189</v>
      </c>
    </row>
    <row r="53" spans="1:33" s="14" customFormat="1" ht="43.2" x14ac:dyDescent="0.3">
      <c r="A53" s="19">
        <v>43951</v>
      </c>
      <c r="B53" s="14" t="s">
        <v>1181</v>
      </c>
      <c r="C53" s="14" t="s">
        <v>1182</v>
      </c>
      <c r="D53" s="14" t="s">
        <v>1183</v>
      </c>
      <c r="E53" s="14" t="s">
        <v>62</v>
      </c>
      <c r="F53" s="14" t="s">
        <v>63</v>
      </c>
      <c r="G53" s="14" t="s">
        <v>64</v>
      </c>
      <c r="H53" s="47">
        <v>9785</v>
      </c>
      <c r="I53" s="14" t="s">
        <v>39</v>
      </c>
      <c r="J53" s="21"/>
      <c r="K53" s="19">
        <v>44105</v>
      </c>
      <c r="L53" s="19">
        <v>46873</v>
      </c>
      <c r="M53" s="19"/>
      <c r="N53" s="14">
        <v>91</v>
      </c>
      <c r="O53" s="22">
        <v>19.25</v>
      </c>
      <c r="P53" s="10">
        <v>13.5</v>
      </c>
      <c r="Q53" s="10">
        <f t="shared" si="6"/>
        <v>32.75</v>
      </c>
      <c r="R53" s="15">
        <v>0.5</v>
      </c>
      <c r="S53" s="12">
        <v>61.32</v>
      </c>
      <c r="T53" s="10">
        <f t="shared" si="7"/>
        <v>8.0861538461538469</v>
      </c>
      <c r="U53" s="26">
        <v>7</v>
      </c>
      <c r="V53" s="14" t="s">
        <v>40</v>
      </c>
      <c r="W53" s="15">
        <f t="shared" si="8"/>
        <v>19.104166666666668</v>
      </c>
      <c r="X53" s="16">
        <f t="shared" si="9"/>
        <v>0.92307692307692313</v>
      </c>
      <c r="Y53" s="15">
        <f t="shared" si="10"/>
        <v>2.5192307692307696</v>
      </c>
      <c r="Z53" s="12">
        <f>S53+W53</f>
        <v>80.424166666666665</v>
      </c>
      <c r="AA53" s="15">
        <f t="shared" si="11"/>
        <v>10.605384615384615</v>
      </c>
      <c r="AB53" s="14" t="s">
        <v>213</v>
      </c>
      <c r="AC53" s="23" t="s">
        <v>91</v>
      </c>
      <c r="AD53" s="14" t="s">
        <v>92</v>
      </c>
      <c r="AE53" s="14" t="s">
        <v>1184</v>
      </c>
      <c r="AF53" s="14" t="s">
        <v>429</v>
      </c>
    </row>
  </sheetData>
  <autoFilter ref="A1:AG1" xr:uid="{C4C16FD5-A57D-4E14-9B64-6739B6CF8F97}">
    <sortState xmlns:xlrd2="http://schemas.microsoft.com/office/spreadsheetml/2017/richdata2" ref="A2:AG53">
      <sortCondition descending="1"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Active Comps</vt:lpstr>
      <vt:lpstr>Old Comps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Madden/USA</dc:creator>
  <cp:lastModifiedBy>Michael Madden/USA</cp:lastModifiedBy>
  <dcterms:created xsi:type="dcterms:W3CDTF">2025-12-20T01:40:31Z</dcterms:created>
  <dcterms:modified xsi:type="dcterms:W3CDTF">2026-04-01T18:24:23Z</dcterms:modified>
</cp:coreProperties>
</file>